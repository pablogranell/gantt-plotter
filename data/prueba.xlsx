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cuments\Proyectos\gantt-plotter\data\"/>
    </mc:Choice>
  </mc:AlternateContent>
  <xr:revisionPtr revIDLastSave="0" documentId="13_ncr:1_{BCA8408B-2FA2-494F-B0D7-E09479F9A277}" xr6:coauthVersionLast="47" xr6:coauthVersionMax="47" xr10:uidLastSave="{00000000-0000-0000-0000-000000000000}"/>
  <bookViews>
    <workbookView xWindow="-108" yWindow="-108" windowWidth="23256" windowHeight="12456" firstSheet="3" activeTab="3" xr2:uid="{C624DFD4-34F5-B04E-9BD4-08DD160B2705}"/>
  </bookViews>
  <sheets>
    <sheet name="verión 1" sheetId="1" r:id="rId1"/>
    <sheet name="versión 2" sheetId="2" r:id="rId2"/>
    <sheet name="versión 3" sheetId="3" r:id="rId3"/>
    <sheet name="Gant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F10" i="4"/>
  <c r="F8" i="4"/>
  <c r="E9" i="4" s="1"/>
  <c r="F4" i="4"/>
  <c r="E5" i="4" s="1"/>
  <c r="F3" i="4"/>
  <c r="F2" i="4"/>
  <c r="E6" i="4" l="1"/>
  <c r="F5" i="4"/>
  <c r="E7" i="4" s="1"/>
  <c r="F9" i="4"/>
  <c r="F6" i="4"/>
  <c r="D6" i="3"/>
  <c r="B7" i="3" s="1"/>
  <c r="D5" i="3"/>
  <c r="E5" i="3" s="1"/>
  <c r="D4" i="3"/>
  <c r="E4" i="3" s="1"/>
  <c r="F3" i="3"/>
  <c r="F5" i="3" s="1"/>
  <c r="D4" i="2"/>
  <c r="E4" i="2" s="1"/>
  <c r="D5" i="2"/>
  <c r="E5" i="2" s="1"/>
  <c r="D6" i="2"/>
  <c r="B8" i="2" s="1"/>
  <c r="D8" i="2" s="1"/>
  <c r="B9" i="2" s="1"/>
  <c r="F3" i="2"/>
  <c r="F7" i="4" l="1"/>
  <c r="D7" i="3"/>
  <c r="F7" i="3" s="1"/>
  <c r="G3" i="3"/>
  <c r="E6" i="3"/>
  <c r="B8" i="3"/>
  <c r="F4" i="3"/>
  <c r="F6" i="3"/>
  <c r="B10" i="2"/>
  <c r="D10" i="2" s="1"/>
  <c r="B11" i="2" s="1"/>
  <c r="F4" i="2"/>
  <c r="E6" i="2"/>
  <c r="F5" i="2"/>
  <c r="F6" i="2"/>
  <c r="D9" i="2"/>
  <c r="E9" i="2" s="1"/>
  <c r="E8" i="2"/>
  <c r="B7" i="2"/>
  <c r="D7" i="2" s="1"/>
  <c r="F8" i="2"/>
  <c r="G3" i="2"/>
  <c r="D5" i="1"/>
  <c r="E5" i="1" s="1"/>
  <c r="D6" i="1"/>
  <c r="B7" i="1" s="1"/>
  <c r="F3" i="1"/>
  <c r="G3" i="1" s="1"/>
  <c r="H3" i="1" s="1"/>
  <c r="I3" i="1" s="1"/>
  <c r="J3" i="1" s="1"/>
  <c r="D4" i="1"/>
  <c r="E4" i="1" s="1"/>
  <c r="G4" i="3" l="1"/>
  <c r="G6" i="3"/>
  <c r="G5" i="3"/>
  <c r="H3" i="3"/>
  <c r="E7" i="3"/>
  <c r="G7" i="3"/>
  <c r="D8" i="3"/>
  <c r="G8" i="2"/>
  <c r="G6" i="2"/>
  <c r="G4" i="2"/>
  <c r="G5" i="2"/>
  <c r="F10" i="2"/>
  <c r="E10" i="2"/>
  <c r="G7" i="2"/>
  <c r="F7" i="2"/>
  <c r="E7" i="2"/>
  <c r="F9" i="2"/>
  <c r="H3" i="2"/>
  <c r="D11" i="2"/>
  <c r="E11" i="2" s="1"/>
  <c r="G10" i="2"/>
  <c r="G9" i="2"/>
  <c r="B8" i="1"/>
  <c r="B10" i="3" l="1"/>
  <c r="B9" i="3"/>
  <c r="G8" i="3"/>
  <c r="H8" i="3"/>
  <c r="E8" i="3"/>
  <c r="I3" i="3"/>
  <c r="H5" i="3"/>
  <c r="H6" i="3"/>
  <c r="H4" i="3"/>
  <c r="H7" i="3"/>
  <c r="F8" i="3"/>
  <c r="H7" i="2"/>
  <c r="H4" i="2"/>
  <c r="H6" i="2"/>
  <c r="H5" i="2"/>
  <c r="F11" i="2"/>
  <c r="G11" i="2"/>
  <c r="H11" i="2"/>
  <c r="I3" i="2"/>
  <c r="H8" i="2"/>
  <c r="H10" i="2"/>
  <c r="H9" i="2"/>
  <c r="B9" i="1"/>
  <c r="D9" i="1" s="1"/>
  <c r="B10" i="1"/>
  <c r="D10" i="1" s="1"/>
  <c r="D9" i="3" l="1"/>
  <c r="E9" i="3" s="1"/>
  <c r="I5" i="3"/>
  <c r="I6" i="3"/>
  <c r="J3" i="3"/>
  <c r="I4" i="3"/>
  <c r="I7" i="3"/>
  <c r="I8" i="3"/>
  <c r="D10" i="3"/>
  <c r="B11" i="3" s="1"/>
  <c r="I4" i="2"/>
  <c r="I6" i="2"/>
  <c r="I5" i="2"/>
  <c r="J3" i="2"/>
  <c r="I8" i="2"/>
  <c r="I10" i="2"/>
  <c r="I9" i="2"/>
  <c r="I11" i="2"/>
  <c r="I7" i="2"/>
  <c r="B11" i="1"/>
  <c r="D11" i="1" s="1"/>
  <c r="F5" i="1"/>
  <c r="H10" i="3" l="1"/>
  <c r="E10" i="3"/>
  <c r="F9" i="3"/>
  <c r="G9" i="3"/>
  <c r="H9" i="3"/>
  <c r="D11" i="3"/>
  <c r="H11" i="3" s="1"/>
  <c r="I9" i="3"/>
  <c r="F10" i="3"/>
  <c r="J9" i="3"/>
  <c r="I10" i="3"/>
  <c r="G10" i="3"/>
  <c r="J10" i="3"/>
  <c r="J6" i="3"/>
  <c r="K3" i="3"/>
  <c r="J5" i="3"/>
  <c r="J7" i="3"/>
  <c r="J8" i="3"/>
  <c r="J5" i="2"/>
  <c r="J6" i="2"/>
  <c r="K3" i="2"/>
  <c r="J9" i="2"/>
  <c r="J8" i="2"/>
  <c r="J10" i="2"/>
  <c r="J7" i="2"/>
  <c r="J11" i="2"/>
  <c r="F4" i="1"/>
  <c r="I11" i="3" l="1"/>
  <c r="K11" i="3"/>
  <c r="E11" i="3"/>
  <c r="F11" i="3"/>
  <c r="K6" i="3"/>
  <c r="L3" i="3"/>
  <c r="K5" i="3"/>
  <c r="K7" i="3"/>
  <c r="K8" i="3"/>
  <c r="K9" i="3"/>
  <c r="K10" i="3"/>
  <c r="J11" i="3"/>
  <c r="G11" i="3"/>
  <c r="K5" i="2"/>
  <c r="K6" i="2"/>
  <c r="L3" i="2"/>
  <c r="K8" i="2"/>
  <c r="K10" i="2"/>
  <c r="K9" i="2"/>
  <c r="K7" i="2"/>
  <c r="K11" i="2"/>
  <c r="G4" i="1"/>
  <c r="G5" i="1"/>
  <c r="H6" i="1"/>
  <c r="G6" i="1"/>
  <c r="E6" i="1"/>
  <c r="F6" i="1"/>
  <c r="L6" i="3" l="1"/>
  <c r="M3" i="3"/>
  <c r="L5" i="3"/>
  <c r="L7" i="3"/>
  <c r="L8" i="3"/>
  <c r="L9" i="3"/>
  <c r="L10" i="3"/>
  <c r="L11" i="3"/>
  <c r="L6" i="2"/>
  <c r="L5" i="2"/>
  <c r="M3" i="2"/>
  <c r="L8" i="2"/>
  <c r="L9" i="2"/>
  <c r="L10" i="2"/>
  <c r="L7" i="2"/>
  <c r="L11" i="2"/>
  <c r="H4" i="1"/>
  <c r="H5" i="1"/>
  <c r="G7" i="1"/>
  <c r="I7" i="1"/>
  <c r="H7" i="1"/>
  <c r="F7" i="1"/>
  <c r="E7" i="1"/>
  <c r="M5" i="3" l="1"/>
  <c r="M6" i="3"/>
  <c r="N3" i="3"/>
  <c r="M7" i="3"/>
  <c r="M8" i="3"/>
  <c r="M9" i="3"/>
  <c r="M10" i="3"/>
  <c r="M11" i="3"/>
  <c r="M6" i="2"/>
  <c r="M5" i="2"/>
  <c r="N3" i="2"/>
  <c r="M9" i="2"/>
  <c r="M8" i="2"/>
  <c r="M10" i="2"/>
  <c r="M11" i="2"/>
  <c r="M7" i="2"/>
  <c r="I4" i="1"/>
  <c r="I5" i="1"/>
  <c r="I6" i="1"/>
  <c r="N6" i="3" l="1"/>
  <c r="N5" i="3"/>
  <c r="O3" i="3"/>
  <c r="N7" i="3"/>
  <c r="N8" i="3"/>
  <c r="N10" i="3"/>
  <c r="N9" i="3"/>
  <c r="N11" i="3"/>
  <c r="N6" i="2"/>
  <c r="N5" i="2"/>
  <c r="N9" i="2"/>
  <c r="N8" i="2"/>
  <c r="O3" i="2"/>
  <c r="N10" i="2"/>
  <c r="N11" i="2"/>
  <c r="N7" i="2"/>
  <c r="K3" i="1"/>
  <c r="K8" i="1" s="1"/>
  <c r="J5" i="1"/>
  <c r="J6" i="1"/>
  <c r="J7" i="1"/>
  <c r="I8" i="1"/>
  <c r="H8" i="1"/>
  <c r="F8" i="1"/>
  <c r="O5" i="3" l="1"/>
  <c r="O6" i="3"/>
  <c r="P3" i="3"/>
  <c r="O7" i="3"/>
  <c r="O8" i="3"/>
  <c r="O10" i="3"/>
  <c r="O9" i="3"/>
  <c r="O11" i="3"/>
  <c r="O5" i="2"/>
  <c r="O6" i="2"/>
  <c r="P3" i="2"/>
  <c r="Q3" i="2" s="1"/>
  <c r="R3" i="2" s="1"/>
  <c r="O9" i="2"/>
  <c r="O10" i="2"/>
  <c r="O8" i="2"/>
  <c r="O11" i="2"/>
  <c r="O7" i="2"/>
  <c r="L3" i="1"/>
  <c r="K5" i="1"/>
  <c r="K6" i="1"/>
  <c r="K7" i="1"/>
  <c r="L8" i="1"/>
  <c r="G8" i="1"/>
  <c r="E8" i="1"/>
  <c r="J8" i="1"/>
  <c r="P6" i="3" l="1"/>
  <c r="Q3" i="3"/>
  <c r="P5" i="3"/>
  <c r="P7" i="3"/>
  <c r="P8" i="3"/>
  <c r="P10" i="3"/>
  <c r="P9" i="3"/>
  <c r="P11" i="3"/>
  <c r="S3" i="2"/>
  <c r="R8" i="2"/>
  <c r="R6" i="2"/>
  <c r="R9" i="2"/>
  <c r="R5" i="2"/>
  <c r="R10" i="2"/>
  <c r="R11" i="2"/>
  <c r="R7" i="2"/>
  <c r="P6" i="2"/>
  <c r="P5" i="2"/>
  <c r="P8" i="2"/>
  <c r="P9" i="2"/>
  <c r="P10" i="2"/>
  <c r="P11" i="2"/>
  <c r="P7" i="2"/>
  <c r="L5" i="1"/>
  <c r="M3" i="1"/>
  <c r="L6" i="1"/>
  <c r="L7" i="1"/>
  <c r="G9" i="1"/>
  <c r="I9" i="1"/>
  <c r="E9" i="1"/>
  <c r="F9" i="1"/>
  <c r="J9" i="1"/>
  <c r="H9" i="1"/>
  <c r="K9" i="1"/>
  <c r="L9" i="1"/>
  <c r="M9" i="1"/>
  <c r="Q5" i="3" l="1"/>
  <c r="R3" i="3"/>
  <c r="Q6" i="3"/>
  <c r="Q7" i="3"/>
  <c r="Q8" i="3"/>
  <c r="Q10" i="3"/>
  <c r="Q9" i="3"/>
  <c r="Q11" i="3"/>
  <c r="S6" i="2"/>
  <c r="S5" i="2"/>
  <c r="S8" i="2"/>
  <c r="S7" i="2"/>
  <c r="S9" i="2"/>
  <c r="S10" i="2"/>
  <c r="S11" i="2"/>
  <c r="Q6" i="2"/>
  <c r="Q5" i="2"/>
  <c r="Q8" i="2"/>
  <c r="Q9" i="2"/>
  <c r="Q10" i="2"/>
  <c r="Q11" i="2"/>
  <c r="Q7" i="2"/>
  <c r="M5" i="1"/>
  <c r="N3" i="1"/>
  <c r="M6" i="1"/>
  <c r="M7" i="1"/>
  <c r="M8" i="1"/>
  <c r="R6" i="3" l="1"/>
  <c r="S3" i="3"/>
  <c r="R5" i="3"/>
  <c r="R7" i="3"/>
  <c r="R8" i="3"/>
  <c r="R9" i="3"/>
  <c r="R10" i="3"/>
  <c r="R11" i="3"/>
  <c r="N6" i="1"/>
  <c r="N5" i="1"/>
  <c r="O3" i="1"/>
  <c r="N7" i="1"/>
  <c r="N8" i="1"/>
  <c r="N9" i="1"/>
  <c r="K10" i="1"/>
  <c r="I10" i="1"/>
  <c r="L10" i="1"/>
  <c r="E10" i="1"/>
  <c r="M10" i="1"/>
  <c r="G10" i="1"/>
  <c r="H10" i="1"/>
  <c r="J10" i="1"/>
  <c r="N10" i="1"/>
  <c r="O10" i="1"/>
  <c r="F10" i="1"/>
  <c r="S6" i="3" l="1"/>
  <c r="T3" i="3"/>
  <c r="S5" i="3"/>
  <c r="S7" i="3"/>
  <c r="S8" i="3"/>
  <c r="S10" i="3"/>
  <c r="S9" i="3"/>
  <c r="S11" i="3"/>
  <c r="T3" i="2"/>
  <c r="O7" i="1"/>
  <c r="O5" i="1"/>
  <c r="O6" i="1"/>
  <c r="P3" i="1"/>
  <c r="O8" i="1"/>
  <c r="O9" i="1"/>
  <c r="T6" i="3" l="1"/>
  <c r="U3" i="3"/>
  <c r="T5" i="3"/>
  <c r="T7" i="3"/>
  <c r="T8" i="3"/>
  <c r="T9" i="3"/>
  <c r="T10" i="3"/>
  <c r="T11" i="3"/>
  <c r="T6" i="2"/>
  <c r="T5" i="2"/>
  <c r="U3" i="2"/>
  <c r="T10" i="2"/>
  <c r="T8" i="2"/>
  <c r="T9" i="2"/>
  <c r="T7" i="2"/>
  <c r="T11" i="2"/>
  <c r="P7" i="1"/>
  <c r="P6" i="1"/>
  <c r="P5" i="1"/>
  <c r="Q3" i="1"/>
  <c r="P8" i="1"/>
  <c r="P9" i="1"/>
  <c r="P10" i="1"/>
  <c r="L11" i="1"/>
  <c r="E11" i="1"/>
  <c r="G11" i="1"/>
  <c r="F11" i="1"/>
  <c r="O11" i="1"/>
  <c r="I11" i="1"/>
  <c r="K11" i="1"/>
  <c r="H11" i="1"/>
  <c r="M11" i="1"/>
  <c r="N11" i="1"/>
  <c r="J11" i="1"/>
  <c r="P11" i="1"/>
  <c r="U5" i="3" l="1"/>
  <c r="U6" i="3"/>
  <c r="V3" i="3"/>
  <c r="V11" i="3" s="1"/>
  <c r="U7" i="3"/>
  <c r="U8" i="3"/>
  <c r="U9" i="3"/>
  <c r="U10" i="3"/>
  <c r="U11" i="3"/>
  <c r="U6" i="2"/>
  <c r="U5" i="2"/>
  <c r="V3" i="2"/>
  <c r="U10" i="2"/>
  <c r="U9" i="2"/>
  <c r="U8" i="2"/>
  <c r="U11" i="2"/>
  <c r="U7" i="2"/>
  <c r="R3" i="1"/>
  <c r="Q5" i="1"/>
  <c r="Q7" i="1"/>
  <c r="Q6" i="1"/>
  <c r="Q8" i="1"/>
  <c r="Q9" i="1"/>
  <c r="Q10" i="1"/>
  <c r="Q11" i="1"/>
  <c r="V5" i="3" l="1"/>
  <c r="V6" i="3"/>
  <c r="W3" i="3"/>
  <c r="W11" i="3" s="1"/>
  <c r="V7" i="3"/>
  <c r="V8" i="3"/>
  <c r="V10" i="3"/>
  <c r="V9" i="3"/>
  <c r="V5" i="2"/>
  <c r="V6" i="2"/>
  <c r="W3" i="2"/>
  <c r="V8" i="2"/>
  <c r="V9" i="2"/>
  <c r="V10" i="2"/>
  <c r="V7" i="2"/>
  <c r="V11" i="2"/>
  <c r="R8" i="1"/>
  <c r="R6" i="1"/>
  <c r="S3" i="1"/>
  <c r="R7" i="1"/>
  <c r="R5" i="1"/>
  <c r="R9" i="1"/>
  <c r="R10" i="1"/>
  <c r="R11" i="1"/>
  <c r="W6" i="3" l="1"/>
  <c r="W5" i="3"/>
  <c r="X3" i="3"/>
  <c r="X11" i="3" s="1"/>
  <c r="W7" i="3"/>
  <c r="W8" i="3"/>
  <c r="W9" i="3"/>
  <c r="W10" i="3"/>
  <c r="W5" i="2"/>
  <c r="W6" i="2"/>
  <c r="X3" i="2"/>
  <c r="W8" i="2"/>
  <c r="W10" i="2"/>
  <c r="W9" i="2"/>
  <c r="W11" i="2"/>
  <c r="W7" i="2"/>
  <c r="T3" i="1"/>
  <c r="S6" i="1"/>
  <c r="S5" i="1"/>
  <c r="S9" i="1"/>
  <c r="S8" i="1"/>
  <c r="S7" i="1"/>
  <c r="S10" i="1"/>
  <c r="S11" i="1"/>
  <c r="Y3" i="3" l="1"/>
  <c r="X5" i="3"/>
  <c r="X6" i="3"/>
  <c r="X7" i="3"/>
  <c r="X8" i="3"/>
  <c r="X9" i="3"/>
  <c r="X10" i="3"/>
  <c r="X6" i="2"/>
  <c r="X5" i="2"/>
  <c r="X8" i="2"/>
  <c r="Y3" i="2"/>
  <c r="X9" i="2"/>
  <c r="X10" i="2"/>
  <c r="X7" i="2"/>
  <c r="X11" i="2"/>
  <c r="T8" i="1"/>
  <c r="T5" i="1"/>
  <c r="T7" i="1"/>
  <c r="T6" i="1"/>
  <c r="T10" i="1"/>
  <c r="U3" i="1"/>
  <c r="T9" i="1"/>
  <c r="T11" i="1"/>
  <c r="Y5" i="3" l="1"/>
  <c r="Y6" i="3"/>
  <c r="Y7" i="3"/>
  <c r="Y8" i="3"/>
  <c r="Y10" i="3"/>
  <c r="Y9" i="3"/>
  <c r="Y11" i="3"/>
  <c r="Y6" i="2"/>
  <c r="Y5" i="2"/>
  <c r="Y8" i="2"/>
  <c r="Y9" i="2"/>
  <c r="Y10" i="2"/>
  <c r="Y11" i="2"/>
  <c r="Y7" i="2"/>
  <c r="U5" i="1"/>
  <c r="U9" i="1"/>
  <c r="U8" i="1"/>
  <c r="V3" i="1"/>
  <c r="U10" i="1"/>
  <c r="U6" i="1"/>
  <c r="U7" i="1"/>
  <c r="U11" i="1"/>
  <c r="V6" i="1" l="1"/>
  <c r="V10" i="1"/>
  <c r="W3" i="1"/>
  <c r="V7" i="1"/>
  <c r="V5" i="1"/>
  <c r="V9" i="1"/>
  <c r="V8" i="1"/>
  <c r="V11" i="1"/>
  <c r="W11" i="1" l="1"/>
  <c r="W6" i="1"/>
  <c r="W10" i="1"/>
  <c r="W5" i="1"/>
  <c r="W9" i="1"/>
  <c r="W8" i="1"/>
  <c r="X3" i="1"/>
  <c r="W7" i="1"/>
  <c r="X7" i="1" l="1"/>
  <c r="X11" i="1"/>
  <c r="X9" i="1"/>
  <c r="X10" i="1"/>
  <c r="Y3" i="1"/>
  <c r="X6" i="1"/>
  <c r="X5" i="1"/>
  <c r="X8" i="1"/>
  <c r="Y7" i="1" l="1"/>
  <c r="Y10" i="1"/>
  <c r="Y5" i="1"/>
  <c r="Y8" i="1"/>
  <c r="Y11" i="1"/>
  <c r="Y6" i="1"/>
  <c r="Y9" i="1"/>
</calcChain>
</file>

<file path=xl/sharedStrings.xml><?xml version="1.0" encoding="utf-8"?>
<sst xmlns="http://schemas.openxmlformats.org/spreadsheetml/2006/main" count="68" uniqueCount="38">
  <si>
    <t>Tareas</t>
  </si>
  <si>
    <t>Fecha Inicio</t>
  </si>
  <si>
    <t>Duracion (semanas)</t>
  </si>
  <si>
    <t>Fecha Fin</t>
  </si>
  <si>
    <t>- Permitir modificación en las entregas: importe del servicio y fecha de entrega, y añadir documentación adicional</t>
  </si>
  <si>
    <t>- Retroalimentación del SGI al gestor al validar encargos/entregas</t>
  </si>
  <si>
    <t>- Avisos al gestor de encargos/entregas pendientes de confirmación por el cliente</t>
  </si>
  <si>
    <t>- Permitir introducir la fecha aceptación en los encargos formalizados previamente (ahorrar un paso al gestor)</t>
  </si>
  <si>
    <t>- Adaptar la información de seguimiento que ven los gestores para mejorar su utilidad, según las sugerencias ya recibidas</t>
  </si>
  <si>
    <t>- Permitir comunicación en inglés con los clientes</t>
  </si>
  <si>
    <t>- Descarga automática de códigos DIR3 del portal FACe y selección de códigos en la solicitud</t>
  </si>
  <si>
    <t>- Gestión encargos/entregas de actividad "Licencias de software". Incluir en el circuito de validaciones al I2T</t>
  </si>
  <si>
    <t>Permitir comunicación en inglés con los clientes (Falta pantalla de entrega)</t>
  </si>
  <si>
    <t xml:space="preserve">Participantes SENIA. </t>
  </si>
  <si>
    <t>task_group</t>
  </si>
  <si>
    <t>task_description</t>
  </si>
  <si>
    <t>team</t>
  </si>
  <si>
    <t>duration</t>
  </si>
  <si>
    <t>start_date</t>
  </si>
  <si>
    <t>end_date</t>
  </si>
  <si>
    <t>Fase 1</t>
  </si>
  <si>
    <t>Fase 2</t>
  </si>
  <si>
    <t>Fase 3</t>
  </si>
  <si>
    <t>Fase 4</t>
  </si>
  <si>
    <t>Fase 5</t>
  </si>
  <si>
    <t>Fase 6</t>
  </si>
  <si>
    <t>Fase 7</t>
  </si>
  <si>
    <t>Fase 8</t>
  </si>
  <si>
    <t>Fase 9</t>
  </si>
  <si>
    <t>Responsable 1</t>
  </si>
  <si>
    <t>Responsable 2</t>
  </si>
  <si>
    <t>Responsable 3</t>
  </si>
  <si>
    <t>Retroalimentación del SGI al gestor al validar encargos/entregas</t>
  </si>
  <si>
    <t>Avisos al gestor de encargos/entregas pendientes de confirmación por el cliente</t>
  </si>
  <si>
    <t>Adaptar la información de seguimiento que ven los gestores para mejorar su utilidad, según las sugerencias ya recibidas</t>
  </si>
  <si>
    <t>Permitir introducir la fecha aceptación en los encargos formalizados previamente (ahorrar un paso al gestor)</t>
  </si>
  <si>
    <t>Descarga automática de códigos DIR3 del portal FACe y selección de códigos en la solicitud</t>
  </si>
  <si>
    <t>Gestión encargos/entregas de actividad "Licencias de software". Incluir en el circuito de validaciones al I2T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</si>
</sst>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trike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14" fontId="4" fillId="0" borderId="7" xfId="0" applyNumberFormat="1" applyFont="1" applyBorder="1"/>
    <xf numFmtId="0" fontId="4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4" fontId="2" fillId="0" borderId="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14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3" xfId="0" applyBorder="1"/>
    <xf numFmtId="0" fontId="0" fillId="0" borderId="14" xfId="0" applyBorder="1"/>
    <xf numFmtId="14" fontId="0" fillId="0" borderId="15" xfId="0" applyNumberFormat="1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17" xfId="0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4" fontId="4" fillId="4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A2FA-2066-A84E-9970-18B6B6616933}">
  <dimension ref="A2:Y12"/>
  <sheetViews>
    <sheetView zoomScale="87" zoomScaleNormal="57" workbookViewId="0">
      <selection activeCell="A8" sqref="A8"/>
    </sheetView>
  </sheetViews>
  <sheetFormatPr defaultColWidth="11" defaultRowHeight="15.6" x14ac:dyDescent="0.3"/>
  <cols>
    <col min="1" max="1" width="90.8984375" customWidth="1"/>
    <col min="2" max="2" width="17.59765625" customWidth="1"/>
    <col min="3" max="3" width="15.5" style="4" customWidth="1"/>
    <col min="4" max="4" width="16.3984375" customWidth="1"/>
    <col min="5" max="5" width="14.09765625" customWidth="1"/>
    <col min="6" max="17" width="14.3984375" bestFit="1" customWidth="1"/>
  </cols>
  <sheetData>
    <row r="2" spans="1:25" ht="16.2" thickBot="1" x14ac:dyDescent="0.35"/>
    <row r="3" spans="1:25" s="2" customFormat="1" ht="48.9" customHeight="1" x14ac:dyDescent="0.3">
      <c r="A3" s="7" t="s">
        <v>0</v>
      </c>
      <c r="B3" s="8" t="s">
        <v>1</v>
      </c>
      <c r="C3" s="9" t="s">
        <v>2</v>
      </c>
      <c r="D3" s="9" t="s">
        <v>3</v>
      </c>
      <c r="E3" s="17">
        <v>45361</v>
      </c>
      <c r="F3" s="15">
        <f t="shared" ref="F3:I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ref="J3:Y3" si="1">I3+7</f>
        <v>45396</v>
      </c>
      <c r="K3" s="15">
        <f t="shared" si="1"/>
        <v>45403</v>
      </c>
      <c r="L3" s="15">
        <f t="shared" si="1"/>
        <v>45410</v>
      </c>
      <c r="M3" s="15">
        <f t="shared" si="1"/>
        <v>45417</v>
      </c>
      <c r="N3" s="15">
        <f t="shared" si="1"/>
        <v>45424</v>
      </c>
      <c r="O3" s="15">
        <f t="shared" si="1"/>
        <v>45431</v>
      </c>
      <c r="P3" s="15">
        <f t="shared" si="1"/>
        <v>45438</v>
      </c>
      <c r="Q3" s="16">
        <f t="shared" si="1"/>
        <v>45445</v>
      </c>
      <c r="R3" s="3">
        <f t="shared" si="1"/>
        <v>45452</v>
      </c>
      <c r="S3" s="3">
        <f t="shared" si="1"/>
        <v>45459</v>
      </c>
      <c r="T3" s="3">
        <f t="shared" si="1"/>
        <v>45466</v>
      </c>
      <c r="U3" s="3">
        <f t="shared" si="1"/>
        <v>45473</v>
      </c>
      <c r="V3" s="3">
        <f t="shared" si="1"/>
        <v>45480</v>
      </c>
      <c r="W3" s="3">
        <f t="shared" si="1"/>
        <v>45487</v>
      </c>
      <c r="X3" s="3">
        <f t="shared" si="1"/>
        <v>45494</v>
      </c>
      <c r="Y3" s="3">
        <f t="shared" si="1"/>
        <v>45501</v>
      </c>
    </row>
    <row r="4" spans="1:25" ht="50.1" customHeight="1" x14ac:dyDescent="0.45">
      <c r="A4" s="20" t="s">
        <v>4</v>
      </c>
      <c r="B4" s="21">
        <v>45357</v>
      </c>
      <c r="C4" s="22">
        <v>5</v>
      </c>
      <c r="D4" s="21">
        <f t="shared" ref="D4:D11" si="2">B4+C4*7</f>
        <v>45392</v>
      </c>
      <c r="E4">
        <f>IF(AND($B4&lt;=E$3,E$3&lt;$D4),1,0)</f>
        <v>1</v>
      </c>
      <c r="F4">
        <f t="shared" ref="F4:Y11" si="3">IF(AND($B4&lt;=F$3,F$3&lt;$D4),1,0)</f>
        <v>1</v>
      </c>
      <c r="G4">
        <f t="shared" si="3"/>
        <v>1</v>
      </c>
      <c r="H4">
        <f t="shared" si="3"/>
        <v>1</v>
      </c>
      <c r="I4">
        <f t="shared" si="3"/>
        <v>1</v>
      </c>
      <c r="Q4" s="10"/>
      <c r="R4" s="1"/>
      <c r="S4" s="1"/>
      <c r="T4" s="1"/>
      <c r="U4" s="1"/>
      <c r="V4" s="1"/>
      <c r="W4" s="1"/>
      <c r="X4" s="1"/>
      <c r="Y4" s="1"/>
    </row>
    <row r="5" spans="1:25" ht="50.1" customHeight="1" x14ac:dyDescent="0.45">
      <c r="A5" s="20" t="s">
        <v>5</v>
      </c>
      <c r="B5" s="21">
        <v>45357</v>
      </c>
      <c r="C5" s="23">
        <v>5</v>
      </c>
      <c r="D5" s="21">
        <f t="shared" si="2"/>
        <v>45392</v>
      </c>
      <c r="E5">
        <f>IF(AND($B5&lt;=E$3,E$3&lt;$D5),1,0)</f>
        <v>1</v>
      </c>
      <c r="F5">
        <f t="shared" si="3"/>
        <v>1</v>
      </c>
      <c r="G5">
        <f t="shared" si="3"/>
        <v>1</v>
      </c>
      <c r="H5">
        <f t="shared" si="3"/>
        <v>1</v>
      </c>
      <c r="I5">
        <f t="shared" si="3"/>
        <v>1</v>
      </c>
      <c r="J5">
        <f t="shared" si="3"/>
        <v>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 s="10">
        <f t="shared" si="3"/>
        <v>0</v>
      </c>
      <c r="R5">
        <f t="shared" si="3"/>
        <v>0</v>
      </c>
      <c r="S5">
        <f t="shared" si="3"/>
        <v>0</v>
      </c>
      <c r="T5">
        <f t="shared" si="3"/>
        <v>0</v>
      </c>
      <c r="U5">
        <f t="shared" si="3"/>
        <v>0</v>
      </c>
      <c r="V5">
        <f t="shared" si="3"/>
        <v>0</v>
      </c>
      <c r="W5">
        <f t="shared" si="3"/>
        <v>0</v>
      </c>
      <c r="X5">
        <f t="shared" si="3"/>
        <v>0</v>
      </c>
      <c r="Y5">
        <f t="shared" si="3"/>
        <v>0</v>
      </c>
    </row>
    <row r="6" spans="1:25" ht="50.1" customHeight="1" x14ac:dyDescent="0.45">
      <c r="A6" s="20" t="s">
        <v>6</v>
      </c>
      <c r="B6" s="21">
        <v>45357</v>
      </c>
      <c r="C6" s="22">
        <v>5</v>
      </c>
      <c r="D6" s="21">
        <f t="shared" si="2"/>
        <v>45392</v>
      </c>
      <c r="E6">
        <f t="shared" ref="E6:P11" si="4">IF(AND($B6&lt;=E$3,E$3&lt;$D6),1,0)</f>
        <v>1</v>
      </c>
      <c r="F6">
        <f t="shared" si="4"/>
        <v>1</v>
      </c>
      <c r="G6">
        <f t="shared" si="4"/>
        <v>1</v>
      </c>
      <c r="H6">
        <f t="shared" si="4"/>
        <v>1</v>
      </c>
      <c r="I6">
        <f t="shared" si="4"/>
        <v>1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 s="10">
        <f t="shared" si="3"/>
        <v>0</v>
      </c>
      <c r="R6">
        <f t="shared" si="3"/>
        <v>0</v>
      </c>
      <c r="S6">
        <f t="shared" si="3"/>
        <v>0</v>
      </c>
      <c r="T6">
        <f t="shared" si="3"/>
        <v>0</v>
      </c>
      <c r="U6">
        <f t="shared" si="3"/>
        <v>0</v>
      </c>
      <c r="V6">
        <f t="shared" si="3"/>
        <v>0</v>
      </c>
      <c r="W6">
        <f t="shared" si="3"/>
        <v>0</v>
      </c>
      <c r="X6">
        <f t="shared" si="3"/>
        <v>0</v>
      </c>
      <c r="Y6">
        <f t="shared" si="3"/>
        <v>0</v>
      </c>
    </row>
    <row r="7" spans="1:25" ht="50.1" customHeight="1" x14ac:dyDescent="0.45">
      <c r="A7" s="20" t="s">
        <v>7</v>
      </c>
      <c r="B7" s="21">
        <f>D6</f>
        <v>45392</v>
      </c>
      <c r="C7" s="22">
        <v>4</v>
      </c>
      <c r="D7" s="21">
        <v>45412</v>
      </c>
      <c r="E7">
        <f t="shared" si="4"/>
        <v>0</v>
      </c>
      <c r="F7">
        <f t="shared" si="4"/>
        <v>0</v>
      </c>
      <c r="G7">
        <f t="shared" si="4"/>
        <v>0</v>
      </c>
      <c r="H7">
        <f t="shared" si="4"/>
        <v>0</v>
      </c>
      <c r="I7">
        <f t="shared" si="4"/>
        <v>0</v>
      </c>
      <c r="J7">
        <f t="shared" si="3"/>
        <v>1</v>
      </c>
      <c r="K7">
        <f t="shared" si="3"/>
        <v>1</v>
      </c>
      <c r="L7">
        <f t="shared" si="3"/>
        <v>1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 s="10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f t="shared" si="3"/>
        <v>0</v>
      </c>
    </row>
    <row r="8" spans="1:25" ht="50.1" customHeight="1" x14ac:dyDescent="0.45">
      <c r="A8" s="18" t="s">
        <v>8</v>
      </c>
      <c r="B8" s="5">
        <f>D6</f>
        <v>45392</v>
      </c>
      <c r="C8" s="6">
        <v>3</v>
      </c>
      <c r="D8" s="5">
        <v>45412</v>
      </c>
      <c r="E8">
        <f t="shared" si="4"/>
        <v>0</v>
      </c>
      <c r="F8">
        <f t="shared" si="4"/>
        <v>0</v>
      </c>
      <c r="G8">
        <f t="shared" si="4"/>
        <v>0</v>
      </c>
      <c r="H8">
        <f t="shared" si="4"/>
        <v>0</v>
      </c>
      <c r="I8">
        <f t="shared" si="4"/>
        <v>0</v>
      </c>
      <c r="J8">
        <f t="shared" si="3"/>
        <v>1</v>
      </c>
      <c r="K8">
        <f t="shared" si="3"/>
        <v>1</v>
      </c>
      <c r="L8">
        <f t="shared" si="3"/>
        <v>1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 s="10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</row>
    <row r="9" spans="1:25" ht="50.1" customHeight="1" x14ac:dyDescent="0.45">
      <c r="A9" s="18" t="s">
        <v>9</v>
      </c>
      <c r="B9" s="5">
        <f>D8</f>
        <v>45412</v>
      </c>
      <c r="C9" s="6">
        <v>2</v>
      </c>
      <c r="D9" s="5">
        <f t="shared" si="2"/>
        <v>45426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1</v>
      </c>
      <c r="N9">
        <f t="shared" si="3"/>
        <v>1</v>
      </c>
      <c r="O9">
        <f t="shared" si="3"/>
        <v>0</v>
      </c>
      <c r="P9">
        <f t="shared" si="3"/>
        <v>0</v>
      </c>
      <c r="Q9" s="10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</row>
    <row r="10" spans="1:25" ht="50.1" customHeight="1" x14ac:dyDescent="0.45">
      <c r="A10" s="18" t="s">
        <v>10</v>
      </c>
      <c r="B10" s="5">
        <f>D8</f>
        <v>45412</v>
      </c>
      <c r="C10" s="6">
        <v>2</v>
      </c>
      <c r="D10" s="5">
        <f t="shared" si="2"/>
        <v>45426</v>
      </c>
      <c r="E10">
        <f t="shared" si="4"/>
        <v>0</v>
      </c>
      <c r="F10">
        <f t="shared" si="4"/>
        <v>0</v>
      </c>
      <c r="G10">
        <f t="shared" si="4"/>
        <v>0</v>
      </c>
      <c r="H10">
        <f t="shared" si="4"/>
        <v>0</v>
      </c>
      <c r="I10">
        <f t="shared" si="4"/>
        <v>0</v>
      </c>
      <c r="J10">
        <f t="shared" si="3"/>
        <v>0</v>
      </c>
      <c r="K10">
        <f t="shared" si="3"/>
        <v>0</v>
      </c>
      <c r="L10">
        <f t="shared" si="3"/>
        <v>0</v>
      </c>
      <c r="M10">
        <f t="shared" si="3"/>
        <v>1</v>
      </c>
      <c r="N10">
        <f t="shared" si="3"/>
        <v>1</v>
      </c>
      <c r="O10">
        <f t="shared" si="3"/>
        <v>0</v>
      </c>
      <c r="P10">
        <f t="shared" si="3"/>
        <v>0</v>
      </c>
      <c r="Q10" s="10">
        <f t="shared" si="3"/>
        <v>0</v>
      </c>
      <c r="R10">
        <f t="shared" si="3"/>
        <v>0</v>
      </c>
      <c r="S10">
        <f t="shared" si="3"/>
        <v>0</v>
      </c>
      <c r="T10">
        <f t="shared" si="3"/>
        <v>0</v>
      </c>
      <c r="U10">
        <f t="shared" si="3"/>
        <v>0</v>
      </c>
      <c r="V10">
        <f t="shared" si="3"/>
        <v>0</v>
      </c>
      <c r="W10">
        <f t="shared" si="3"/>
        <v>0</v>
      </c>
      <c r="X10">
        <f t="shared" si="3"/>
        <v>0</v>
      </c>
      <c r="Y10">
        <f t="shared" si="3"/>
        <v>0</v>
      </c>
    </row>
    <row r="11" spans="1:25" ht="50.1" customHeight="1" thickBot="1" x14ac:dyDescent="0.5">
      <c r="A11" s="19" t="s">
        <v>11</v>
      </c>
      <c r="B11" s="11">
        <f>D10</f>
        <v>45426</v>
      </c>
      <c r="C11" s="12">
        <v>3</v>
      </c>
      <c r="D11" s="11">
        <f t="shared" si="2"/>
        <v>45447</v>
      </c>
      <c r="E11" s="13">
        <f t="shared" si="4"/>
        <v>0</v>
      </c>
      <c r="F11" s="13">
        <f t="shared" si="4"/>
        <v>0</v>
      </c>
      <c r="G11" s="13">
        <f t="shared" si="4"/>
        <v>0</v>
      </c>
      <c r="H11" s="13">
        <f t="shared" si="4"/>
        <v>0</v>
      </c>
      <c r="I11" s="13">
        <f t="shared" si="4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3"/>
        <v>0</v>
      </c>
      <c r="O11" s="13">
        <f t="shared" si="3"/>
        <v>1</v>
      </c>
      <c r="P11" s="13">
        <f t="shared" si="3"/>
        <v>1</v>
      </c>
      <c r="Q11" s="14">
        <f t="shared" si="3"/>
        <v>1</v>
      </c>
      <c r="R11">
        <f t="shared" si="3"/>
        <v>0</v>
      </c>
      <c r="S11">
        <f t="shared" si="3"/>
        <v>0</v>
      </c>
      <c r="T11">
        <f t="shared" si="3"/>
        <v>0</v>
      </c>
      <c r="U11">
        <f t="shared" si="3"/>
        <v>0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0</v>
      </c>
    </row>
    <row r="12" spans="1:25" x14ac:dyDescent="0.3">
      <c r="B12" s="1"/>
      <c r="D12" s="1"/>
    </row>
  </sheetData>
  <conditionalFormatting sqref="E4:Q4">
    <cfRule type="cellIs" dxfId="11" priority="1" operator="equal">
      <formula>0</formula>
    </cfRule>
    <cfRule type="cellIs" dxfId="10" priority="2" operator="equal">
      <formula>1</formula>
    </cfRule>
  </conditionalFormatting>
  <conditionalFormatting sqref="E5:Y11">
    <cfRule type="cellIs" dxfId="9" priority="15" operator="equal">
      <formula>0</formula>
    </cfRule>
    <cfRule type="cellIs" dxfId="8" priority="16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3856-321B-4B53-9999-7F0F2FB74E05}">
  <dimension ref="A2:Y12"/>
  <sheetViews>
    <sheetView zoomScale="85" zoomScaleNormal="50" workbookViewId="0">
      <selection sqref="A1:XFD1048576"/>
    </sheetView>
  </sheetViews>
  <sheetFormatPr defaultColWidth="11" defaultRowHeight="15.6" x14ac:dyDescent="0.3"/>
  <cols>
    <col min="1" max="1" width="71.3984375" customWidth="1"/>
    <col min="2" max="2" width="16.09765625" bestFit="1" customWidth="1"/>
    <col min="3" max="3" width="14.59765625" style="4" bestFit="1" customWidth="1"/>
    <col min="4" max="4" width="16.09765625" bestFit="1" customWidth="1"/>
    <col min="5" max="5" width="14.09765625" hidden="1" customWidth="1"/>
    <col min="6" max="9" width="14.3984375" hidden="1" customWidth="1"/>
    <col min="10" max="10" width="16.5" customWidth="1"/>
    <col min="11" max="11" width="16.09765625" customWidth="1"/>
    <col min="12" max="12" width="15.59765625" customWidth="1"/>
    <col min="13" max="14" width="16" customWidth="1"/>
    <col min="15" max="15" width="16.09765625" customWidth="1"/>
    <col min="16" max="17" width="16" customWidth="1"/>
    <col min="18" max="18" width="15.59765625" customWidth="1"/>
    <col min="19" max="19" width="15.8984375" customWidth="1"/>
    <col min="20" max="20" width="16.09765625" customWidth="1"/>
  </cols>
  <sheetData>
    <row r="2" spans="1:25" ht="16.2" thickBot="1" x14ac:dyDescent="0.35"/>
    <row r="3" spans="1:25" s="2" customFormat="1" ht="48.9" customHeight="1" x14ac:dyDescent="0.3">
      <c r="A3" s="7" t="s">
        <v>0</v>
      </c>
      <c r="B3" s="8" t="s">
        <v>1</v>
      </c>
      <c r="C3" s="9" t="s">
        <v>2</v>
      </c>
      <c r="D3" s="9" t="s">
        <v>3</v>
      </c>
      <c r="E3" s="17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27">
        <f t="shared" si="0"/>
        <v>45438</v>
      </c>
      <c r="Q3" s="27">
        <f t="shared" ref="Q3" si="1">P3+7</f>
        <v>45445</v>
      </c>
      <c r="R3" s="27">
        <f t="shared" ref="R3" si="2">Q3+7</f>
        <v>45452</v>
      </c>
      <c r="S3" s="16">
        <f t="shared" ref="S3" si="3">R3+7</f>
        <v>45459</v>
      </c>
      <c r="T3" s="3">
        <f t="shared" si="0"/>
        <v>45466</v>
      </c>
      <c r="U3" s="3">
        <f t="shared" si="0"/>
        <v>45473</v>
      </c>
      <c r="V3" s="3">
        <f t="shared" si="0"/>
        <v>45480</v>
      </c>
      <c r="W3" s="3">
        <f t="shared" si="0"/>
        <v>45487</v>
      </c>
      <c r="X3" s="3">
        <f t="shared" si="0"/>
        <v>45494</v>
      </c>
      <c r="Y3" s="3">
        <f t="shared" si="0"/>
        <v>45501</v>
      </c>
    </row>
    <row r="4" spans="1:25" ht="50.1" hidden="1" customHeight="1" x14ac:dyDescent="0.45">
      <c r="A4" s="20" t="s">
        <v>4</v>
      </c>
      <c r="B4" s="21">
        <v>45357</v>
      </c>
      <c r="C4" s="22">
        <v>5</v>
      </c>
      <c r="D4" s="21">
        <f t="shared" ref="D4:D11" si="4">B4+C4*7</f>
        <v>45392</v>
      </c>
      <c r="E4">
        <f>IF(AND($B4&lt;=E$3,E$3&lt;$D4),1,0)</f>
        <v>1</v>
      </c>
      <c r="F4">
        <f t="shared" ref="F4:Y11" si="5">IF(AND($B4&lt;=F$3,F$3&lt;$D4),1,0)</f>
        <v>1</v>
      </c>
      <c r="G4">
        <f t="shared" si="5"/>
        <v>1</v>
      </c>
      <c r="H4">
        <f t="shared" si="5"/>
        <v>1</v>
      </c>
      <c r="I4">
        <f t="shared" si="5"/>
        <v>1</v>
      </c>
      <c r="S4" s="10"/>
      <c r="T4" s="1"/>
      <c r="U4" s="1"/>
      <c r="V4" s="1"/>
      <c r="W4" s="1"/>
      <c r="X4" s="1"/>
      <c r="Y4" s="1"/>
    </row>
    <row r="5" spans="1:25" ht="50.1" hidden="1" customHeight="1" x14ac:dyDescent="0.45">
      <c r="A5" s="20" t="s">
        <v>5</v>
      </c>
      <c r="B5" s="21">
        <v>45357</v>
      </c>
      <c r="C5" s="23">
        <v>5</v>
      </c>
      <c r="D5" s="21">
        <f t="shared" si="4"/>
        <v>45392</v>
      </c>
      <c r="E5">
        <f>IF(AND($B5&lt;=E$3,E$3&lt;$D5),1,0)</f>
        <v>1</v>
      </c>
      <c r="F5">
        <f t="shared" si="5"/>
        <v>1</v>
      </c>
      <c r="G5">
        <f t="shared" si="5"/>
        <v>1</v>
      </c>
      <c r="H5">
        <f t="shared" si="5"/>
        <v>1</v>
      </c>
      <c r="I5">
        <f t="shared" si="5"/>
        <v>1</v>
      </c>
      <c r="J5">
        <f t="shared" si="5"/>
        <v>0</v>
      </c>
      <c r="K5">
        <f t="shared" si="5"/>
        <v>0</v>
      </c>
      <c r="L5">
        <f t="shared" si="5"/>
        <v>0</v>
      </c>
      <c r="M5">
        <f t="shared" si="5"/>
        <v>0</v>
      </c>
      <c r="N5">
        <f t="shared" si="5"/>
        <v>0</v>
      </c>
      <c r="O5">
        <f t="shared" si="5"/>
        <v>0</v>
      </c>
      <c r="P5">
        <f t="shared" si="5"/>
        <v>0</v>
      </c>
      <c r="Q5">
        <f t="shared" si="5"/>
        <v>0</v>
      </c>
      <c r="R5">
        <f t="shared" si="5"/>
        <v>0</v>
      </c>
      <c r="S5" s="10">
        <f t="shared" si="5"/>
        <v>0</v>
      </c>
      <c r="T5">
        <f t="shared" si="5"/>
        <v>0</v>
      </c>
      <c r="U5">
        <f t="shared" si="5"/>
        <v>0</v>
      </c>
      <c r="V5">
        <f t="shared" si="5"/>
        <v>0</v>
      </c>
      <c r="W5">
        <f t="shared" si="5"/>
        <v>0</v>
      </c>
      <c r="X5">
        <f t="shared" si="5"/>
        <v>0</v>
      </c>
      <c r="Y5">
        <f t="shared" si="5"/>
        <v>0</v>
      </c>
    </row>
    <row r="6" spans="1:25" ht="50.1" hidden="1" customHeight="1" x14ac:dyDescent="0.45">
      <c r="A6" s="20" t="s">
        <v>6</v>
      </c>
      <c r="B6" s="21">
        <v>45357</v>
      </c>
      <c r="C6" s="22">
        <v>5</v>
      </c>
      <c r="D6" s="21">
        <f t="shared" si="4"/>
        <v>45392</v>
      </c>
      <c r="E6">
        <f t="shared" ref="E6:P11" si="6">IF(AND($B6&lt;=E$3,E$3&lt;$D6),1,0)</f>
        <v>1</v>
      </c>
      <c r="F6">
        <f t="shared" si="6"/>
        <v>1</v>
      </c>
      <c r="G6">
        <f t="shared" si="6"/>
        <v>1</v>
      </c>
      <c r="H6">
        <f t="shared" si="6"/>
        <v>1</v>
      </c>
      <c r="I6">
        <f t="shared" si="6"/>
        <v>1</v>
      </c>
      <c r="J6">
        <f t="shared" si="6"/>
        <v>0</v>
      </c>
      <c r="K6">
        <f t="shared" si="6"/>
        <v>0</v>
      </c>
      <c r="L6">
        <f t="shared" si="6"/>
        <v>0</v>
      </c>
      <c r="M6">
        <f t="shared" si="6"/>
        <v>0</v>
      </c>
      <c r="N6">
        <f t="shared" si="6"/>
        <v>0</v>
      </c>
      <c r="O6">
        <f t="shared" si="6"/>
        <v>0</v>
      </c>
      <c r="P6">
        <f t="shared" si="6"/>
        <v>0</v>
      </c>
      <c r="Q6">
        <f t="shared" si="5"/>
        <v>0</v>
      </c>
      <c r="R6">
        <f t="shared" si="5"/>
        <v>0</v>
      </c>
      <c r="S6" s="10">
        <f t="shared" si="5"/>
        <v>0</v>
      </c>
      <c r="T6">
        <f t="shared" si="5"/>
        <v>0</v>
      </c>
      <c r="U6">
        <f t="shared" si="5"/>
        <v>0</v>
      </c>
      <c r="V6">
        <f t="shared" si="5"/>
        <v>0</v>
      </c>
      <c r="W6">
        <f t="shared" si="5"/>
        <v>0</v>
      </c>
      <c r="X6">
        <f t="shared" si="5"/>
        <v>0</v>
      </c>
      <c r="Y6">
        <f t="shared" si="5"/>
        <v>0</v>
      </c>
    </row>
    <row r="7" spans="1:25" ht="46.8" x14ac:dyDescent="0.45">
      <c r="A7" s="24" t="s">
        <v>7</v>
      </c>
      <c r="B7" s="25">
        <f>D6</f>
        <v>45392</v>
      </c>
      <c r="C7" s="26">
        <v>5</v>
      </c>
      <c r="D7" s="25">
        <f t="shared" si="4"/>
        <v>45427</v>
      </c>
      <c r="E7">
        <f t="shared" si="6"/>
        <v>0</v>
      </c>
      <c r="F7">
        <f t="shared" si="6"/>
        <v>0</v>
      </c>
      <c r="G7">
        <f t="shared" si="6"/>
        <v>0</v>
      </c>
      <c r="H7">
        <f t="shared" si="6"/>
        <v>0</v>
      </c>
      <c r="I7">
        <f t="shared" si="6"/>
        <v>0</v>
      </c>
      <c r="J7">
        <f t="shared" si="5"/>
        <v>1</v>
      </c>
      <c r="K7">
        <f t="shared" si="5"/>
        <v>1</v>
      </c>
      <c r="L7">
        <f t="shared" si="5"/>
        <v>1</v>
      </c>
      <c r="M7">
        <f t="shared" si="5"/>
        <v>1</v>
      </c>
      <c r="N7">
        <f t="shared" si="5"/>
        <v>1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 s="10">
        <f t="shared" si="5"/>
        <v>0</v>
      </c>
      <c r="T7">
        <f t="shared" si="5"/>
        <v>0</v>
      </c>
      <c r="U7">
        <f t="shared" si="5"/>
        <v>0</v>
      </c>
      <c r="V7">
        <f t="shared" si="5"/>
        <v>0</v>
      </c>
      <c r="W7">
        <f t="shared" si="5"/>
        <v>0</v>
      </c>
      <c r="X7">
        <f t="shared" si="5"/>
        <v>0</v>
      </c>
      <c r="Y7">
        <f t="shared" si="5"/>
        <v>0</v>
      </c>
    </row>
    <row r="8" spans="1:25" ht="70.2" x14ac:dyDescent="0.45">
      <c r="A8" s="24" t="s">
        <v>8</v>
      </c>
      <c r="B8" s="25">
        <f>D6</f>
        <v>45392</v>
      </c>
      <c r="C8" s="26">
        <v>5</v>
      </c>
      <c r="D8" s="25">
        <f t="shared" si="4"/>
        <v>45427</v>
      </c>
      <c r="E8">
        <f t="shared" si="6"/>
        <v>0</v>
      </c>
      <c r="F8">
        <f t="shared" si="6"/>
        <v>0</v>
      </c>
      <c r="G8">
        <f t="shared" si="6"/>
        <v>0</v>
      </c>
      <c r="H8">
        <f t="shared" si="6"/>
        <v>0</v>
      </c>
      <c r="I8">
        <f t="shared" si="6"/>
        <v>0</v>
      </c>
      <c r="J8">
        <f t="shared" si="5"/>
        <v>1</v>
      </c>
      <c r="K8">
        <f t="shared" si="5"/>
        <v>1</v>
      </c>
      <c r="L8">
        <f t="shared" si="5"/>
        <v>1</v>
      </c>
      <c r="M8">
        <f t="shared" si="5"/>
        <v>1</v>
      </c>
      <c r="N8">
        <f t="shared" si="5"/>
        <v>1</v>
      </c>
      <c r="O8">
        <f t="shared" si="5"/>
        <v>0</v>
      </c>
      <c r="P8">
        <f t="shared" si="5"/>
        <v>0</v>
      </c>
      <c r="Q8">
        <f t="shared" si="5"/>
        <v>0</v>
      </c>
      <c r="R8">
        <f t="shared" si="5"/>
        <v>0</v>
      </c>
      <c r="S8" s="10">
        <f t="shared" si="5"/>
        <v>0</v>
      </c>
      <c r="T8">
        <f t="shared" si="5"/>
        <v>0</v>
      </c>
      <c r="U8">
        <f t="shared" si="5"/>
        <v>0</v>
      </c>
      <c r="V8">
        <f t="shared" si="5"/>
        <v>0</v>
      </c>
      <c r="W8">
        <f t="shared" si="5"/>
        <v>0</v>
      </c>
      <c r="X8">
        <f t="shared" si="5"/>
        <v>0</v>
      </c>
      <c r="Y8">
        <f t="shared" si="5"/>
        <v>0</v>
      </c>
    </row>
    <row r="9" spans="1:25" ht="54.75" customHeight="1" x14ac:dyDescent="0.45">
      <c r="A9" s="18" t="s">
        <v>9</v>
      </c>
      <c r="B9" s="5">
        <f>D8</f>
        <v>45427</v>
      </c>
      <c r="C9" s="6">
        <v>2</v>
      </c>
      <c r="D9" s="5">
        <f t="shared" si="4"/>
        <v>45441</v>
      </c>
      <c r="E9">
        <f t="shared" si="6"/>
        <v>0</v>
      </c>
      <c r="F9">
        <f t="shared" si="6"/>
        <v>0</v>
      </c>
      <c r="G9">
        <f t="shared" si="6"/>
        <v>0</v>
      </c>
      <c r="H9">
        <f t="shared" si="6"/>
        <v>0</v>
      </c>
      <c r="I9">
        <f t="shared" si="6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1</v>
      </c>
      <c r="P9">
        <f t="shared" si="5"/>
        <v>1</v>
      </c>
      <c r="Q9">
        <f t="shared" si="5"/>
        <v>0</v>
      </c>
      <c r="R9">
        <f t="shared" si="5"/>
        <v>0</v>
      </c>
      <c r="S9" s="10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f t="shared" si="5"/>
        <v>0</v>
      </c>
    </row>
    <row r="10" spans="1:25" ht="61.5" customHeight="1" x14ac:dyDescent="0.45">
      <c r="A10" s="18" t="s">
        <v>10</v>
      </c>
      <c r="B10" s="5">
        <f>D8</f>
        <v>45427</v>
      </c>
      <c r="C10" s="6">
        <v>2</v>
      </c>
      <c r="D10" s="5">
        <f t="shared" si="4"/>
        <v>45441</v>
      </c>
      <c r="E10">
        <f t="shared" si="6"/>
        <v>0</v>
      </c>
      <c r="F10">
        <f t="shared" si="6"/>
        <v>0</v>
      </c>
      <c r="G10">
        <f t="shared" si="6"/>
        <v>0</v>
      </c>
      <c r="H10">
        <f t="shared" si="6"/>
        <v>0</v>
      </c>
      <c r="I10">
        <f t="shared" si="6"/>
        <v>0</v>
      </c>
      <c r="J10">
        <f t="shared" si="5"/>
        <v>0</v>
      </c>
      <c r="K10">
        <f t="shared" si="5"/>
        <v>0</v>
      </c>
      <c r="L10">
        <f t="shared" si="5"/>
        <v>0</v>
      </c>
      <c r="M10">
        <f t="shared" si="5"/>
        <v>0</v>
      </c>
      <c r="N10">
        <f t="shared" si="5"/>
        <v>0</v>
      </c>
      <c r="O10">
        <f t="shared" si="5"/>
        <v>1</v>
      </c>
      <c r="P10">
        <f t="shared" si="5"/>
        <v>1</v>
      </c>
      <c r="Q10">
        <f t="shared" si="5"/>
        <v>0</v>
      </c>
      <c r="R10">
        <f t="shared" si="5"/>
        <v>0</v>
      </c>
      <c r="S10" s="10">
        <f t="shared" si="5"/>
        <v>0</v>
      </c>
      <c r="T10">
        <f t="shared" si="5"/>
        <v>0</v>
      </c>
      <c r="U10">
        <f t="shared" si="5"/>
        <v>0</v>
      </c>
      <c r="V10">
        <f t="shared" si="5"/>
        <v>0</v>
      </c>
      <c r="W10">
        <f t="shared" si="5"/>
        <v>0</v>
      </c>
      <c r="X10">
        <f t="shared" si="5"/>
        <v>0</v>
      </c>
      <c r="Y10">
        <f t="shared" si="5"/>
        <v>0</v>
      </c>
    </row>
    <row r="11" spans="1:25" ht="82.5" customHeight="1" thickBot="1" x14ac:dyDescent="0.5">
      <c r="A11" s="19" t="s">
        <v>11</v>
      </c>
      <c r="B11" s="11">
        <f>D10</f>
        <v>45441</v>
      </c>
      <c r="C11" s="12">
        <v>3</v>
      </c>
      <c r="D11" s="11">
        <f t="shared" si="4"/>
        <v>45462</v>
      </c>
      <c r="E11" s="13">
        <f t="shared" si="6"/>
        <v>0</v>
      </c>
      <c r="F11" s="13">
        <f t="shared" si="6"/>
        <v>0</v>
      </c>
      <c r="G11" s="13">
        <f t="shared" si="6"/>
        <v>0</v>
      </c>
      <c r="H11" s="13">
        <f t="shared" si="6"/>
        <v>0</v>
      </c>
      <c r="I11" s="13">
        <f t="shared" si="6"/>
        <v>0</v>
      </c>
      <c r="J11" s="13">
        <f t="shared" si="5"/>
        <v>0</v>
      </c>
      <c r="K11" s="13">
        <f t="shared" si="5"/>
        <v>0</v>
      </c>
      <c r="L11" s="13">
        <f t="shared" si="5"/>
        <v>0</v>
      </c>
      <c r="M11" s="13">
        <f t="shared" si="5"/>
        <v>0</v>
      </c>
      <c r="N11" s="13">
        <f t="shared" si="5"/>
        <v>0</v>
      </c>
      <c r="O11" s="13">
        <f t="shared" si="5"/>
        <v>0</v>
      </c>
      <c r="P11" s="13">
        <f t="shared" si="5"/>
        <v>0</v>
      </c>
      <c r="Q11" s="13">
        <f t="shared" si="5"/>
        <v>1</v>
      </c>
      <c r="R11" s="13">
        <f t="shared" si="5"/>
        <v>1</v>
      </c>
      <c r="S11" s="14">
        <f t="shared" si="5"/>
        <v>1</v>
      </c>
      <c r="T11">
        <f t="shared" si="5"/>
        <v>0</v>
      </c>
      <c r="U11">
        <f t="shared" si="5"/>
        <v>0</v>
      </c>
      <c r="V11">
        <f t="shared" si="5"/>
        <v>0</v>
      </c>
      <c r="W11">
        <f t="shared" si="5"/>
        <v>0</v>
      </c>
      <c r="X11">
        <f t="shared" si="5"/>
        <v>0</v>
      </c>
      <c r="Y11">
        <f t="shared" si="5"/>
        <v>0</v>
      </c>
    </row>
    <row r="12" spans="1:25" x14ac:dyDescent="0.3">
      <c r="B12" s="1"/>
      <c r="D12" s="1"/>
    </row>
  </sheetData>
  <conditionalFormatting sqref="E4:S4">
    <cfRule type="cellIs" dxfId="7" priority="1" operator="equal">
      <formula>0</formula>
    </cfRule>
    <cfRule type="cellIs" dxfId="6" priority="2" operator="equal">
      <formula>1</formula>
    </cfRule>
  </conditionalFormatting>
  <conditionalFormatting sqref="E5:Y11">
    <cfRule type="cellIs" dxfId="5" priority="5" operator="equal">
      <formula>0</formula>
    </cfRule>
    <cfRule type="cellIs" dxfId="4" priority="6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5EAA-DB62-D94C-B81C-80772983355C}">
  <dimension ref="A2:Y12"/>
  <sheetViews>
    <sheetView zoomScale="84" zoomScaleNormal="80" workbookViewId="0">
      <selection sqref="A1:XFD1048576"/>
    </sheetView>
  </sheetViews>
  <sheetFormatPr defaultColWidth="11" defaultRowHeight="15.6" x14ac:dyDescent="0.3"/>
  <cols>
    <col min="1" max="1" width="82.3984375" bestFit="1" customWidth="1"/>
    <col min="2" max="2" width="14.09765625" customWidth="1"/>
    <col min="3" max="3" width="16.5" style="4" customWidth="1"/>
    <col min="4" max="4" width="12.3984375" customWidth="1"/>
    <col min="5" max="8" width="11.09765625" hidden="1" customWidth="1"/>
    <col min="9" max="9" width="9.8984375" hidden="1" customWidth="1"/>
    <col min="10" max="10" width="10.59765625" customWidth="1"/>
    <col min="11" max="11" width="11.59765625" customWidth="1"/>
    <col min="12" max="12" width="11.09765625" bestFit="1" customWidth="1"/>
    <col min="13" max="13" width="9.8984375" bestFit="1" customWidth="1"/>
    <col min="14" max="16" width="11.09765625" bestFit="1" customWidth="1"/>
    <col min="17" max="18" width="9.8984375" bestFit="1" customWidth="1"/>
    <col min="19" max="21" width="11.09765625" bestFit="1" customWidth="1"/>
    <col min="22" max="22" width="9.8984375" bestFit="1" customWidth="1"/>
  </cols>
  <sheetData>
    <row r="2" spans="1:25" ht="16.2" thickBot="1" x14ac:dyDescent="0.35"/>
    <row r="3" spans="1:25" s="2" customFormat="1" ht="48.9" customHeight="1" x14ac:dyDescent="0.3">
      <c r="A3" s="7" t="s">
        <v>0</v>
      </c>
      <c r="B3" s="8" t="s">
        <v>1</v>
      </c>
      <c r="C3" s="9" t="s">
        <v>2</v>
      </c>
      <c r="D3" s="9" t="s">
        <v>3</v>
      </c>
      <c r="E3" s="15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15">
        <f t="shared" si="0"/>
        <v>45438</v>
      </c>
      <c r="Q3" s="15">
        <f t="shared" si="0"/>
        <v>45445</v>
      </c>
      <c r="R3" s="15">
        <f t="shared" si="0"/>
        <v>45452</v>
      </c>
      <c r="S3" s="15">
        <f t="shared" si="0"/>
        <v>45459</v>
      </c>
      <c r="T3" s="15">
        <f t="shared" si="0"/>
        <v>45466</v>
      </c>
      <c r="U3" s="15">
        <f t="shared" si="0"/>
        <v>45473</v>
      </c>
      <c r="V3" s="16">
        <f t="shared" si="0"/>
        <v>45480</v>
      </c>
      <c r="W3" s="3">
        <f t="shared" si="0"/>
        <v>45487</v>
      </c>
      <c r="X3" s="3">
        <f t="shared" si="0"/>
        <v>45494</v>
      </c>
      <c r="Y3" s="3">
        <f t="shared" si="0"/>
        <v>45501</v>
      </c>
    </row>
    <row r="4" spans="1:25" ht="50.1" hidden="1" customHeight="1" x14ac:dyDescent="0.45">
      <c r="A4" s="20" t="s">
        <v>4</v>
      </c>
      <c r="B4" s="21">
        <v>45357</v>
      </c>
      <c r="C4" s="22">
        <v>5</v>
      </c>
      <c r="D4" s="21">
        <f t="shared" ref="D4:D11" si="1">B4+C4*7</f>
        <v>45392</v>
      </c>
      <c r="E4" s="28">
        <f>IF(AND($B4&lt;=E$3,E$3&lt;$D4),1,0)</f>
        <v>1</v>
      </c>
      <c r="F4" s="28">
        <f t="shared" ref="F4:Y11" si="2">IF(AND($B4&lt;=F$3,F$3&lt;$D4),1,0)</f>
        <v>1</v>
      </c>
      <c r="G4" s="28">
        <f t="shared" si="2"/>
        <v>1</v>
      </c>
      <c r="H4" s="28">
        <f t="shared" si="2"/>
        <v>1</v>
      </c>
      <c r="I4" s="28">
        <f t="shared" si="2"/>
        <v>1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9"/>
      <c r="U4" s="29"/>
      <c r="V4" s="32"/>
      <c r="W4" s="1"/>
      <c r="X4" s="1"/>
      <c r="Y4" s="1"/>
    </row>
    <row r="5" spans="1:25" ht="50.1" hidden="1" customHeight="1" x14ac:dyDescent="0.45">
      <c r="A5" s="20" t="s">
        <v>5</v>
      </c>
      <c r="B5" s="21">
        <v>45357</v>
      </c>
      <c r="C5" s="23">
        <v>5</v>
      </c>
      <c r="D5" s="21">
        <f t="shared" si="1"/>
        <v>45392</v>
      </c>
      <c r="E5" s="28">
        <f>IF(AND($B5&lt;=E$3,E$3&lt;$D5),1,0)</f>
        <v>1</v>
      </c>
      <c r="F5" s="28">
        <f t="shared" si="2"/>
        <v>1</v>
      </c>
      <c r="G5" s="28">
        <f t="shared" si="2"/>
        <v>1</v>
      </c>
      <c r="H5" s="28">
        <f t="shared" si="2"/>
        <v>1</v>
      </c>
      <c r="I5" s="28">
        <f t="shared" si="2"/>
        <v>1</v>
      </c>
      <c r="J5" s="28">
        <f t="shared" si="2"/>
        <v>0</v>
      </c>
      <c r="K5" s="28">
        <f t="shared" si="2"/>
        <v>0</v>
      </c>
      <c r="L5" s="28">
        <f t="shared" si="2"/>
        <v>0</v>
      </c>
      <c r="M5" s="28">
        <f t="shared" si="2"/>
        <v>0</v>
      </c>
      <c r="N5" s="28">
        <f t="shared" si="2"/>
        <v>0</v>
      </c>
      <c r="O5" s="28">
        <f t="shared" si="2"/>
        <v>0</v>
      </c>
      <c r="P5" s="28">
        <f t="shared" si="2"/>
        <v>0</v>
      </c>
      <c r="Q5" s="28">
        <f t="shared" si="2"/>
        <v>0</v>
      </c>
      <c r="R5" s="28">
        <f t="shared" si="2"/>
        <v>0</v>
      </c>
      <c r="S5" s="28">
        <f t="shared" si="2"/>
        <v>0</v>
      </c>
      <c r="T5" s="28">
        <f t="shared" si="2"/>
        <v>0</v>
      </c>
      <c r="U5" s="28">
        <f t="shared" si="2"/>
        <v>0</v>
      </c>
      <c r="V5" s="33">
        <f t="shared" si="2"/>
        <v>0</v>
      </c>
      <c r="W5">
        <f t="shared" si="2"/>
        <v>0</v>
      </c>
      <c r="X5">
        <f t="shared" si="2"/>
        <v>0</v>
      </c>
      <c r="Y5">
        <f t="shared" si="2"/>
        <v>0</v>
      </c>
    </row>
    <row r="6" spans="1:25" ht="50.1" hidden="1" customHeight="1" x14ac:dyDescent="0.45">
      <c r="A6" s="20" t="s">
        <v>6</v>
      </c>
      <c r="B6" s="21">
        <v>45357</v>
      </c>
      <c r="C6" s="22">
        <v>5</v>
      </c>
      <c r="D6" s="21">
        <f t="shared" si="1"/>
        <v>45392</v>
      </c>
      <c r="E6" s="28">
        <f t="shared" ref="E6:P11" si="3">IF(AND($B6&lt;=E$3,E$3&lt;$D6),1,0)</f>
        <v>1</v>
      </c>
      <c r="F6" s="28">
        <f t="shared" si="3"/>
        <v>1</v>
      </c>
      <c r="G6" s="28">
        <f t="shared" si="3"/>
        <v>1</v>
      </c>
      <c r="H6" s="28">
        <f t="shared" si="3"/>
        <v>1</v>
      </c>
      <c r="I6" s="28">
        <f t="shared" si="3"/>
        <v>1</v>
      </c>
      <c r="J6" s="31">
        <f t="shared" si="3"/>
        <v>0</v>
      </c>
      <c r="K6" s="31">
        <f t="shared" si="3"/>
        <v>0</v>
      </c>
      <c r="L6" s="31">
        <f t="shared" si="3"/>
        <v>0</v>
      </c>
      <c r="M6" s="31">
        <f t="shared" si="3"/>
        <v>0</v>
      </c>
      <c r="N6" s="31">
        <f t="shared" si="3"/>
        <v>0</v>
      </c>
      <c r="O6" s="31">
        <f t="shared" si="3"/>
        <v>0</v>
      </c>
      <c r="P6" s="31">
        <f t="shared" si="3"/>
        <v>0</v>
      </c>
      <c r="Q6" s="31">
        <f t="shared" si="2"/>
        <v>0</v>
      </c>
      <c r="R6" s="31">
        <f t="shared" si="2"/>
        <v>0</v>
      </c>
      <c r="S6" s="31">
        <f t="shared" si="2"/>
        <v>0</v>
      </c>
      <c r="T6" s="31">
        <f t="shared" si="2"/>
        <v>0</v>
      </c>
      <c r="U6" s="31">
        <f t="shared" si="2"/>
        <v>0</v>
      </c>
      <c r="V6" s="34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</row>
    <row r="7" spans="1:25" ht="46.8" x14ac:dyDescent="0.45">
      <c r="A7" s="24" t="s">
        <v>7</v>
      </c>
      <c r="B7" s="25">
        <f>D6</f>
        <v>45392</v>
      </c>
      <c r="C7" s="26">
        <v>7</v>
      </c>
      <c r="D7" s="25">
        <f t="shared" si="1"/>
        <v>45441</v>
      </c>
      <c r="E7" s="28">
        <f t="shared" si="3"/>
        <v>0</v>
      </c>
      <c r="F7" s="28">
        <f t="shared" si="3"/>
        <v>0</v>
      </c>
      <c r="G7" s="28">
        <f t="shared" si="3"/>
        <v>0</v>
      </c>
      <c r="H7" s="28">
        <f t="shared" si="3"/>
        <v>0</v>
      </c>
      <c r="I7" s="30">
        <f t="shared" si="3"/>
        <v>0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 s="10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</row>
    <row r="8" spans="1:25" ht="46.8" x14ac:dyDescent="0.45">
      <c r="A8" s="24" t="s">
        <v>8</v>
      </c>
      <c r="B8" s="25">
        <f>D6</f>
        <v>45392</v>
      </c>
      <c r="C8" s="26">
        <v>7</v>
      </c>
      <c r="D8" s="25">
        <f t="shared" si="1"/>
        <v>45441</v>
      </c>
      <c r="E8" s="28">
        <f t="shared" si="3"/>
        <v>0</v>
      </c>
      <c r="F8" s="28">
        <f t="shared" si="3"/>
        <v>0</v>
      </c>
      <c r="G8" s="28">
        <f t="shared" si="3"/>
        <v>0</v>
      </c>
      <c r="H8" s="28">
        <f t="shared" si="3"/>
        <v>0</v>
      </c>
      <c r="I8" s="30">
        <f t="shared" si="3"/>
        <v>0</v>
      </c>
      <c r="J8">
        <f t="shared" si="2"/>
        <v>1</v>
      </c>
      <c r="K8">
        <f t="shared" si="2"/>
        <v>1</v>
      </c>
      <c r="L8">
        <f t="shared" si="2"/>
        <v>1</v>
      </c>
      <c r="M8">
        <f t="shared" si="2"/>
        <v>1</v>
      </c>
      <c r="N8">
        <f t="shared" si="2"/>
        <v>1</v>
      </c>
      <c r="O8">
        <f t="shared" si="2"/>
        <v>1</v>
      </c>
      <c r="P8">
        <f t="shared" si="2"/>
        <v>1</v>
      </c>
      <c r="Q8">
        <f t="shared" si="2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 s="10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</row>
    <row r="9" spans="1:25" ht="54.75" customHeight="1" x14ac:dyDescent="0.45">
      <c r="A9" s="18" t="s">
        <v>9</v>
      </c>
      <c r="B9" s="5">
        <f>D8</f>
        <v>45441</v>
      </c>
      <c r="C9" s="6">
        <v>3</v>
      </c>
      <c r="D9" s="5">
        <f t="shared" si="1"/>
        <v>45462</v>
      </c>
      <c r="E9" s="28">
        <f t="shared" si="3"/>
        <v>0</v>
      </c>
      <c r="F9" s="28">
        <f t="shared" si="3"/>
        <v>0</v>
      </c>
      <c r="G9" s="28">
        <f t="shared" si="3"/>
        <v>0</v>
      </c>
      <c r="H9" s="28">
        <f t="shared" si="3"/>
        <v>0</v>
      </c>
      <c r="I9" s="30">
        <f t="shared" si="3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1</v>
      </c>
      <c r="R9">
        <f t="shared" si="2"/>
        <v>1</v>
      </c>
      <c r="S9">
        <f t="shared" si="2"/>
        <v>1</v>
      </c>
      <c r="T9">
        <f t="shared" si="2"/>
        <v>0</v>
      </c>
      <c r="U9">
        <f t="shared" si="2"/>
        <v>0</v>
      </c>
      <c r="V9" s="10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</row>
    <row r="10" spans="1:25" ht="61.5" customHeight="1" x14ac:dyDescent="0.45">
      <c r="A10" s="18" t="s">
        <v>10</v>
      </c>
      <c r="B10" s="5">
        <f>D8</f>
        <v>45441</v>
      </c>
      <c r="C10" s="6">
        <v>3</v>
      </c>
      <c r="D10" s="5">
        <f t="shared" si="1"/>
        <v>45462</v>
      </c>
      <c r="E10" s="28">
        <f t="shared" si="3"/>
        <v>0</v>
      </c>
      <c r="F10" s="28">
        <f t="shared" si="3"/>
        <v>0</v>
      </c>
      <c r="G10" s="28">
        <f t="shared" si="3"/>
        <v>0</v>
      </c>
      <c r="H10" s="28">
        <f t="shared" si="3"/>
        <v>0</v>
      </c>
      <c r="I10" s="30">
        <f t="shared" si="3"/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1</v>
      </c>
      <c r="R10">
        <f t="shared" si="2"/>
        <v>1</v>
      </c>
      <c r="S10">
        <f t="shared" si="2"/>
        <v>1</v>
      </c>
      <c r="T10">
        <f t="shared" si="2"/>
        <v>0</v>
      </c>
      <c r="U10">
        <f t="shared" si="2"/>
        <v>0</v>
      </c>
      <c r="V10" s="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</row>
    <row r="11" spans="1:25" ht="82.5" customHeight="1" thickBot="1" x14ac:dyDescent="0.5">
      <c r="A11" s="19" t="s">
        <v>11</v>
      </c>
      <c r="B11" s="11">
        <f>D10</f>
        <v>45462</v>
      </c>
      <c r="C11" s="12">
        <v>2</v>
      </c>
      <c r="D11" s="11">
        <f t="shared" si="1"/>
        <v>45476</v>
      </c>
      <c r="E11" s="35">
        <f t="shared" si="3"/>
        <v>0</v>
      </c>
      <c r="F11" s="35">
        <f t="shared" si="3"/>
        <v>0</v>
      </c>
      <c r="G11" s="35">
        <f t="shared" si="3"/>
        <v>0</v>
      </c>
      <c r="H11" s="35">
        <f t="shared" si="3"/>
        <v>0</v>
      </c>
      <c r="I11" s="36">
        <f t="shared" si="3"/>
        <v>0</v>
      </c>
      <c r="J11" s="13">
        <f t="shared" si="2"/>
        <v>0</v>
      </c>
      <c r="K11" s="13">
        <f t="shared" si="2"/>
        <v>0</v>
      </c>
      <c r="L11" s="13">
        <f t="shared" si="2"/>
        <v>0</v>
      </c>
      <c r="M11" s="13">
        <f t="shared" si="2"/>
        <v>0</v>
      </c>
      <c r="N11" s="13">
        <f t="shared" si="2"/>
        <v>0</v>
      </c>
      <c r="O11" s="13">
        <f t="shared" si="2"/>
        <v>0</v>
      </c>
      <c r="P11" s="13">
        <f t="shared" si="2"/>
        <v>0</v>
      </c>
      <c r="Q11" s="13">
        <f t="shared" si="2"/>
        <v>0</v>
      </c>
      <c r="R11" s="13">
        <f t="shared" si="2"/>
        <v>0</v>
      </c>
      <c r="S11" s="13">
        <f t="shared" si="2"/>
        <v>0</v>
      </c>
      <c r="T11" s="13">
        <f t="shared" si="2"/>
        <v>1</v>
      </c>
      <c r="U11" s="13">
        <f t="shared" si="2"/>
        <v>1</v>
      </c>
      <c r="V11" s="14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</row>
    <row r="12" spans="1:25" x14ac:dyDescent="0.3">
      <c r="B12" s="1"/>
      <c r="D12" s="1"/>
    </row>
  </sheetData>
  <conditionalFormatting sqref="E4:S4">
    <cfRule type="cellIs" dxfId="3" priority="1" operator="equal">
      <formula>0</formula>
    </cfRule>
    <cfRule type="cellIs" dxfId="2" priority="2" operator="equal">
      <formula>1</formula>
    </cfRule>
  </conditionalFormatting>
  <conditionalFormatting sqref="E5:Y11">
    <cfRule type="cellIs" dxfId="1" priority="3" operator="equal">
      <formula>0</formula>
    </cfRule>
    <cfRule type="cellIs" dxfId="0" priority="4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9E17-0E96-D744-8122-0E4CAB06746A}">
  <dimension ref="A1:M10"/>
  <sheetViews>
    <sheetView tabSelected="1" zoomScale="54" zoomScaleNormal="115" workbookViewId="0">
      <selection activeCell="B2" sqref="B2"/>
    </sheetView>
  </sheetViews>
  <sheetFormatPr defaultColWidth="11" defaultRowHeight="15.6" x14ac:dyDescent="0.3"/>
  <cols>
    <col min="1" max="1" width="76.19921875" bestFit="1" customWidth="1"/>
    <col min="2" max="2" width="79.59765625" bestFit="1" customWidth="1"/>
    <col min="3" max="3" width="20.09765625" style="4" bestFit="1" customWidth="1"/>
    <col min="4" max="4" width="22.296875" customWidth="1"/>
    <col min="5" max="5" width="15.796875" customWidth="1"/>
    <col min="6" max="6" width="17" customWidth="1"/>
    <col min="7" max="7" width="16.5" customWidth="1"/>
    <col min="8" max="8" width="15.796875" customWidth="1"/>
    <col min="9" max="9" width="15.09765625" customWidth="1"/>
    <col min="10" max="10" width="13" customWidth="1"/>
    <col min="11" max="11" width="11" customWidth="1"/>
    <col min="12" max="12" width="15.8984375" customWidth="1"/>
    <col min="13" max="13" width="9.09765625" customWidth="1"/>
    <col min="14" max="17" width="14.8984375" bestFit="1" customWidth="1"/>
    <col min="18" max="18" width="15.09765625" bestFit="1" customWidth="1"/>
    <col min="19" max="20" width="15.69921875" bestFit="1" customWidth="1"/>
    <col min="21" max="22" width="15.09765625" bestFit="1" customWidth="1"/>
    <col min="23" max="23" width="14.8984375" customWidth="1"/>
    <col min="24" max="24" width="13.59765625" customWidth="1"/>
    <col min="25" max="25" width="13.8984375" customWidth="1"/>
    <col min="26" max="31" width="14.8984375" bestFit="1" customWidth="1"/>
    <col min="32" max="41" width="14.796875" bestFit="1" customWidth="1"/>
  </cols>
  <sheetData>
    <row r="1" spans="1:6" ht="23.4" x14ac:dyDescent="0.3">
      <c r="A1" s="47" t="s">
        <v>14</v>
      </c>
      <c r="B1" s="48" t="s">
        <v>15</v>
      </c>
      <c r="C1" s="46" t="s">
        <v>16</v>
      </c>
      <c r="D1" s="46" t="s">
        <v>17</v>
      </c>
      <c r="E1" s="8" t="s">
        <v>18</v>
      </c>
      <c r="F1" s="9" t="s">
        <v>19</v>
      </c>
    </row>
    <row r="2" spans="1:6" ht="46.8" x14ac:dyDescent="0.45">
      <c r="A2" s="42" t="s">
        <v>20</v>
      </c>
      <c r="B2" s="41" t="e">
        <f>- B5Permitir modificación en las entregas: importe del servicio y fecha de entrega, y añadir documentación adicional</f>
        <v>#NAME?</v>
      </c>
      <c r="C2" s="26" t="s">
        <v>29</v>
      </c>
      <c r="D2" s="22">
        <v>5</v>
      </c>
      <c r="E2" s="21">
        <v>45357</v>
      </c>
      <c r="F2" s="21">
        <f>E2+D2*7</f>
        <v>45392</v>
      </c>
    </row>
    <row r="3" spans="1:6" s="2" customFormat="1" ht="46.8" x14ac:dyDescent="0.45">
      <c r="A3" s="42" t="s">
        <v>21</v>
      </c>
      <c r="B3" s="41" t="s">
        <v>32</v>
      </c>
      <c r="C3" s="26" t="s">
        <v>30</v>
      </c>
      <c r="D3" s="23">
        <v>5</v>
      </c>
      <c r="E3" s="21">
        <v>45357</v>
      </c>
      <c r="F3" s="21">
        <f>E3+D3*7</f>
        <v>45392</v>
      </c>
    </row>
    <row r="4" spans="1:6" ht="46.8" x14ac:dyDescent="0.45">
      <c r="A4" s="42" t="s">
        <v>22</v>
      </c>
      <c r="B4" s="41" t="s">
        <v>33</v>
      </c>
      <c r="C4" s="26" t="s">
        <v>31</v>
      </c>
      <c r="D4" s="22">
        <v>5</v>
      </c>
      <c r="E4" s="21">
        <v>45357</v>
      </c>
      <c r="F4" s="21">
        <f>E4+D4*7</f>
        <v>45392</v>
      </c>
    </row>
    <row r="5" spans="1:6" ht="46.8" x14ac:dyDescent="0.45">
      <c r="A5" s="42" t="s">
        <v>23</v>
      </c>
      <c r="B5" s="42" t="s">
        <v>34</v>
      </c>
      <c r="C5" s="26" t="s">
        <v>29</v>
      </c>
      <c r="D5" s="26">
        <v>7</v>
      </c>
      <c r="E5" s="25">
        <f>F4</f>
        <v>45392</v>
      </c>
      <c r="F5" s="25">
        <f>E5+D5*7</f>
        <v>45441</v>
      </c>
    </row>
    <row r="6" spans="1:6" ht="46.8" x14ac:dyDescent="0.45">
      <c r="A6" s="42" t="s">
        <v>24</v>
      </c>
      <c r="B6" s="43" t="s">
        <v>35</v>
      </c>
      <c r="C6" s="26" t="s">
        <v>30</v>
      </c>
      <c r="D6" s="40">
        <v>9</v>
      </c>
      <c r="E6" s="39">
        <f>F4</f>
        <v>45392</v>
      </c>
      <c r="F6" s="39">
        <f>E6+D6*7</f>
        <v>45455</v>
      </c>
    </row>
    <row r="7" spans="1:6" ht="77.099999999999994" customHeight="1" x14ac:dyDescent="0.45">
      <c r="A7" s="42" t="s">
        <v>25</v>
      </c>
      <c r="B7" s="41" t="s">
        <v>12</v>
      </c>
      <c r="C7" s="26" t="s">
        <v>31</v>
      </c>
      <c r="D7" s="22">
        <v>6</v>
      </c>
      <c r="E7" s="21">
        <f>F5</f>
        <v>45441</v>
      </c>
      <c r="F7" s="21">
        <f>E7+D7*7</f>
        <v>45483</v>
      </c>
    </row>
    <row r="8" spans="1:6" ht="69" customHeight="1" x14ac:dyDescent="0.45">
      <c r="A8" s="42" t="s">
        <v>26</v>
      </c>
      <c r="B8" s="44" t="s">
        <v>36</v>
      </c>
      <c r="C8" s="26" t="s">
        <v>29</v>
      </c>
      <c r="D8" s="6">
        <v>2</v>
      </c>
      <c r="E8" s="5">
        <v>45476</v>
      </c>
      <c r="F8" s="5">
        <f>E8+D8*7</f>
        <v>45490</v>
      </c>
    </row>
    <row r="9" spans="1:6" ht="54.75" customHeight="1" x14ac:dyDescent="0.45">
      <c r="A9" s="42" t="s">
        <v>27</v>
      </c>
      <c r="B9" s="45" t="s">
        <v>37</v>
      </c>
      <c r="C9" s="26" t="s">
        <v>30</v>
      </c>
      <c r="D9" s="38">
        <v>2</v>
      </c>
      <c r="E9" s="37">
        <f>F8</f>
        <v>45490</v>
      </c>
      <c r="F9" s="5">
        <f>E9+D9*7</f>
        <v>45504</v>
      </c>
    </row>
    <row r="10" spans="1:6" ht="61.5" customHeight="1" thickBot="1" x14ac:dyDescent="0.5">
      <c r="A10" s="42" t="s">
        <v>28</v>
      </c>
      <c r="B10" s="44" t="s">
        <v>13</v>
      </c>
      <c r="C10" s="26" t="s">
        <v>31</v>
      </c>
      <c r="D10" s="6">
        <v>3</v>
      </c>
      <c r="E10" s="11">
        <v>45476</v>
      </c>
      <c r="F10" s="11">
        <f>E10+D10*7</f>
        <v>45497</v>
      </c>
    </row>
  </sheetData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883533AE32F64C9675E7DA9354FA04" ma:contentTypeVersion="16" ma:contentTypeDescription="Crear nuevo documento." ma:contentTypeScope="" ma:versionID="414d22cdd6e8a79c819460a078b51495">
  <xsd:schema xmlns:xsd="http://www.w3.org/2001/XMLSchema" xmlns:xs="http://www.w3.org/2001/XMLSchema" xmlns:p="http://schemas.microsoft.com/office/2006/metadata/properties" xmlns:ns3="5702931a-f435-46f5-bcc6-13be265680db" xmlns:ns4="7d459365-4b1c-41cf-a2f5-a7ae931223f6" targetNamespace="http://schemas.microsoft.com/office/2006/metadata/properties" ma:root="true" ma:fieldsID="4b8d5eb72dab0e66e37ef0d1ac5ead65" ns3:_="" ns4:_="">
    <xsd:import namespace="5702931a-f435-46f5-bcc6-13be265680db"/>
    <xsd:import namespace="7d459365-4b1c-41cf-a2f5-a7ae931223f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2931a-f435-46f5-bcc6-13be265680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59365-4b1c-41cf-a2f5-a7ae93122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459365-4b1c-41cf-a2f5-a7ae931223f6" xsi:nil="true"/>
  </documentManagement>
</p:properties>
</file>

<file path=customXml/itemProps1.xml><?xml version="1.0" encoding="utf-8"?>
<ds:datastoreItem xmlns:ds="http://schemas.openxmlformats.org/officeDocument/2006/customXml" ds:itemID="{B1C13980-4398-4D2D-841F-407A6B8FF5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DABBC4-659F-447D-93E2-7D5D999988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02931a-f435-46f5-bcc6-13be265680db"/>
    <ds:schemaRef ds:uri="7d459365-4b1c-41cf-a2f5-a7ae93122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F88909-9F44-4165-BCD6-AD630B74B330}">
  <ds:schemaRefs>
    <ds:schemaRef ds:uri="http://schemas.microsoft.com/office/2006/metadata/properties"/>
    <ds:schemaRef ds:uri="http://schemas.microsoft.com/office/infopath/2007/PartnerControls"/>
    <ds:schemaRef ds:uri="7d459365-4b1c-41cf-a2f5-a7ae931223f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verión 1</vt:lpstr>
      <vt:lpstr>versión 2</vt:lpstr>
      <vt:lpstr>versión 3</vt:lpstr>
      <vt:lpstr>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Girones Gil</dc:creator>
  <cp:keywords/>
  <dc:description/>
  <cp:lastModifiedBy>Pablo Granell Robles</cp:lastModifiedBy>
  <cp:revision/>
  <dcterms:created xsi:type="dcterms:W3CDTF">2024-02-12T08:23:10Z</dcterms:created>
  <dcterms:modified xsi:type="dcterms:W3CDTF">2025-12-05T10:13:34Z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0x01010002883533AE32F64C9675E7DA9354FA04</vt:lpwstr>
  </property>
</Properties>
</file>