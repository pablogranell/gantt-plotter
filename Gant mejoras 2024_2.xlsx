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gigi\OneDrive - UPV\DPM_HENE\Fase II_Mejoras 2024\"/>
    </mc:Choice>
  </mc:AlternateContent>
  <xr:revisionPtr revIDLastSave="127" documentId="8_{D01DEE40-DC61-48AE-8E74-DEBE4CC748A5}" xr6:coauthVersionLast="47" xr6:coauthVersionMax="47" xr10:uidLastSave="{105EF9F9-408C-4E99-9A0D-72D4984D4348}"/>
  <bookViews>
    <workbookView xWindow="285" yWindow="1515" windowWidth="28245" windowHeight="16140" firstSheet="3" activeTab="3" xr2:uid="{C624DFD4-34F5-B04E-9BD4-08DD160B2705}"/>
  </bookViews>
  <sheets>
    <sheet name="verión 1" sheetId="1" r:id="rId1"/>
    <sheet name="versión 2" sheetId="2" r:id="rId2"/>
    <sheet name="versión 3" sheetId="3" r:id="rId3"/>
    <sheet name="versión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F3" i="4"/>
  <c r="G3" i="4" s="1"/>
  <c r="D4" i="4"/>
  <c r="E4" i="4"/>
  <c r="F4" i="4"/>
  <c r="D5" i="4"/>
  <c r="E5" i="4" s="1"/>
  <c r="D6" i="4"/>
  <c r="E6" i="4" s="1"/>
  <c r="B7" i="4"/>
  <c r="D7" i="4" s="1"/>
  <c r="B9" i="4" l="1"/>
  <c r="D9" i="4" s="1"/>
  <c r="G6" i="4"/>
  <c r="G5" i="4"/>
  <c r="H3" i="4"/>
  <c r="H7" i="4" s="1"/>
  <c r="G4" i="4"/>
  <c r="F5" i="4"/>
  <c r="G7" i="4"/>
  <c r="B8" i="4"/>
  <c r="F7" i="4"/>
  <c r="E7" i="4"/>
  <c r="F6" i="4"/>
  <c r="D6" i="3"/>
  <c r="B7" i="3" s="1"/>
  <c r="D5" i="3"/>
  <c r="E5" i="3" s="1"/>
  <c r="D4" i="3"/>
  <c r="E4" i="3" s="1"/>
  <c r="F3" i="3"/>
  <c r="F5" i="3" s="1"/>
  <c r="D4" i="2"/>
  <c r="E4" i="2" s="1"/>
  <c r="D5" i="2"/>
  <c r="E5" i="2" s="1"/>
  <c r="D6" i="2"/>
  <c r="B8" i="2" s="1"/>
  <c r="D8" i="2" s="1"/>
  <c r="B9" i="2" s="1"/>
  <c r="F3" i="2"/>
  <c r="D8" i="4" l="1"/>
  <c r="F8" i="4" s="1"/>
  <c r="E8" i="4"/>
  <c r="G9" i="4"/>
  <c r="E9" i="4"/>
  <c r="H4" i="4"/>
  <c r="I3" i="4"/>
  <c r="H6" i="4"/>
  <c r="H5" i="4"/>
  <c r="D10" i="4"/>
  <c r="B11" i="4" s="1"/>
  <c r="D7" i="3"/>
  <c r="F7" i="3" s="1"/>
  <c r="G3" i="3"/>
  <c r="E6" i="3"/>
  <c r="B8" i="3"/>
  <c r="F4" i="3"/>
  <c r="F6" i="3"/>
  <c r="B10" i="2"/>
  <c r="D10" i="2" s="1"/>
  <c r="B11" i="2" s="1"/>
  <c r="F4" i="2"/>
  <c r="E6" i="2"/>
  <c r="F5" i="2"/>
  <c r="F6" i="2"/>
  <c r="D9" i="2"/>
  <c r="E9" i="2" s="1"/>
  <c r="E8" i="2"/>
  <c r="B7" i="2"/>
  <c r="D7" i="2" s="1"/>
  <c r="F8" i="2"/>
  <c r="G3" i="2"/>
  <c r="D5" i="1"/>
  <c r="E5" i="1" s="1"/>
  <c r="D6" i="1"/>
  <c r="B7" i="1" s="1"/>
  <c r="F3" i="1"/>
  <c r="G3" i="1" s="1"/>
  <c r="H3" i="1" s="1"/>
  <c r="I3" i="1" s="1"/>
  <c r="J3" i="1" s="1"/>
  <c r="D4" i="1"/>
  <c r="E4" i="1" s="1"/>
  <c r="D11" i="4" l="1"/>
  <c r="G10" i="4"/>
  <c r="F10" i="4"/>
  <c r="E10" i="4"/>
  <c r="I4" i="4"/>
  <c r="I6" i="4"/>
  <c r="I5" i="4"/>
  <c r="J3" i="4"/>
  <c r="J12" i="4" s="1"/>
  <c r="I7" i="4"/>
  <c r="I10" i="4"/>
  <c r="I11" i="4"/>
  <c r="I8" i="4"/>
  <c r="I9" i="4"/>
  <c r="F9" i="4"/>
  <c r="H9" i="4"/>
  <c r="G8" i="4"/>
  <c r="H10" i="4"/>
  <c r="H8" i="4"/>
  <c r="G4" i="3"/>
  <c r="G6" i="3"/>
  <c r="G5" i="3"/>
  <c r="H3" i="3"/>
  <c r="E7" i="3"/>
  <c r="G7" i="3"/>
  <c r="D8" i="3"/>
  <c r="G8" i="2"/>
  <c r="G6" i="2"/>
  <c r="G4" i="2"/>
  <c r="G5" i="2"/>
  <c r="F10" i="2"/>
  <c r="E10" i="2"/>
  <c r="G7" i="2"/>
  <c r="F7" i="2"/>
  <c r="E7" i="2"/>
  <c r="F9" i="2"/>
  <c r="H3" i="2"/>
  <c r="D11" i="2"/>
  <c r="E11" i="2" s="1"/>
  <c r="G10" i="2"/>
  <c r="G9" i="2"/>
  <c r="B8" i="1"/>
  <c r="G11" i="4" l="1"/>
  <c r="J8" i="4"/>
  <c r="J5" i="4"/>
  <c r="J6" i="4"/>
  <c r="K3" i="4"/>
  <c r="K12" i="4" s="1"/>
  <c r="J7" i="4"/>
  <c r="J10" i="4"/>
  <c r="J9" i="4"/>
  <c r="J11" i="4"/>
  <c r="E11" i="4"/>
  <c r="F11" i="4"/>
  <c r="H11" i="4"/>
  <c r="B10" i="3"/>
  <c r="B9" i="3"/>
  <c r="G8" i="3"/>
  <c r="H8" i="3"/>
  <c r="E8" i="3"/>
  <c r="I3" i="3"/>
  <c r="H5" i="3"/>
  <c r="H6" i="3"/>
  <c r="H4" i="3"/>
  <c r="H7" i="3"/>
  <c r="F8" i="3"/>
  <c r="H7" i="2"/>
  <c r="H4" i="2"/>
  <c r="H6" i="2"/>
  <c r="H5" i="2"/>
  <c r="F11" i="2"/>
  <c r="G11" i="2"/>
  <c r="H11" i="2"/>
  <c r="I3" i="2"/>
  <c r="H8" i="2"/>
  <c r="H10" i="2"/>
  <c r="H9" i="2"/>
  <c r="B9" i="1"/>
  <c r="D9" i="1" s="1"/>
  <c r="B10" i="1"/>
  <c r="D10" i="1" s="1"/>
  <c r="K8" i="4" l="1"/>
  <c r="K5" i="4"/>
  <c r="K6" i="4"/>
  <c r="K7" i="4"/>
  <c r="L3" i="4"/>
  <c r="L12" i="4" s="1"/>
  <c r="K10" i="4"/>
  <c r="K9" i="4"/>
  <c r="K11" i="4"/>
  <c r="D9" i="3"/>
  <c r="E9" i="3" s="1"/>
  <c r="I5" i="3"/>
  <c r="I6" i="3"/>
  <c r="J3" i="3"/>
  <c r="I4" i="3"/>
  <c r="I7" i="3"/>
  <c r="I8" i="3"/>
  <c r="D10" i="3"/>
  <c r="B11" i="3" s="1"/>
  <c r="I4" i="2"/>
  <c r="I6" i="2"/>
  <c r="I5" i="2"/>
  <c r="J3" i="2"/>
  <c r="I8" i="2"/>
  <c r="I10" i="2"/>
  <c r="I9" i="2"/>
  <c r="I11" i="2"/>
  <c r="I7" i="2"/>
  <c r="B11" i="1"/>
  <c r="D11" i="1" s="1"/>
  <c r="F5" i="1"/>
  <c r="L6" i="4" l="1"/>
  <c r="L5" i="4"/>
  <c r="M3" i="4"/>
  <c r="M12" i="4" s="1"/>
  <c r="L10" i="4"/>
  <c r="L7" i="4"/>
  <c r="L9" i="4"/>
  <c r="L8" i="4"/>
  <c r="L11" i="4"/>
  <c r="H10" i="3"/>
  <c r="E10" i="3"/>
  <c r="F9" i="3"/>
  <c r="G9" i="3"/>
  <c r="H9" i="3"/>
  <c r="D11" i="3"/>
  <c r="H11" i="3" s="1"/>
  <c r="I9" i="3"/>
  <c r="F10" i="3"/>
  <c r="J9" i="3"/>
  <c r="I10" i="3"/>
  <c r="G10" i="3"/>
  <c r="J10" i="3"/>
  <c r="J6" i="3"/>
  <c r="K3" i="3"/>
  <c r="J5" i="3"/>
  <c r="J7" i="3"/>
  <c r="J8" i="3"/>
  <c r="J5" i="2"/>
  <c r="J6" i="2"/>
  <c r="K3" i="2"/>
  <c r="J9" i="2"/>
  <c r="J8" i="2"/>
  <c r="J10" i="2"/>
  <c r="J7" i="2"/>
  <c r="J11" i="2"/>
  <c r="F4" i="1"/>
  <c r="M6" i="4" l="1"/>
  <c r="N3" i="4"/>
  <c r="N12" i="4" s="1"/>
  <c r="M7" i="4"/>
  <c r="M5" i="4"/>
  <c r="M10" i="4"/>
  <c r="M8" i="4"/>
  <c r="M9" i="4"/>
  <c r="M11" i="4"/>
  <c r="I11" i="3"/>
  <c r="K11" i="3"/>
  <c r="E11" i="3"/>
  <c r="F11" i="3"/>
  <c r="K6" i="3"/>
  <c r="L3" i="3"/>
  <c r="K5" i="3"/>
  <c r="K7" i="3"/>
  <c r="K8" i="3"/>
  <c r="K9" i="3"/>
  <c r="K10" i="3"/>
  <c r="J11" i="3"/>
  <c r="G11" i="3"/>
  <c r="K5" i="2"/>
  <c r="K6" i="2"/>
  <c r="L3" i="2"/>
  <c r="K8" i="2"/>
  <c r="K10" i="2"/>
  <c r="K9" i="2"/>
  <c r="K7" i="2"/>
  <c r="K11" i="2"/>
  <c r="G4" i="1"/>
  <c r="G5" i="1"/>
  <c r="H6" i="1"/>
  <c r="G6" i="1"/>
  <c r="E6" i="1"/>
  <c r="F6" i="1"/>
  <c r="N6" i="4" l="1"/>
  <c r="O3" i="4"/>
  <c r="O12" i="4" s="1"/>
  <c r="N5" i="4"/>
  <c r="N7" i="4"/>
  <c r="N10" i="4"/>
  <c r="N9" i="4"/>
  <c r="N8" i="4"/>
  <c r="N11" i="4"/>
  <c r="L6" i="3"/>
  <c r="M3" i="3"/>
  <c r="L5" i="3"/>
  <c r="L7" i="3"/>
  <c r="L8" i="3"/>
  <c r="L9" i="3"/>
  <c r="L10" i="3"/>
  <c r="L11" i="3"/>
  <c r="L6" i="2"/>
  <c r="L5" i="2"/>
  <c r="M3" i="2"/>
  <c r="L8" i="2"/>
  <c r="L9" i="2"/>
  <c r="L10" i="2"/>
  <c r="L7" i="2"/>
  <c r="L11" i="2"/>
  <c r="H4" i="1"/>
  <c r="H5" i="1"/>
  <c r="G7" i="1"/>
  <c r="I7" i="1"/>
  <c r="H7" i="1"/>
  <c r="F7" i="1"/>
  <c r="E7" i="1"/>
  <c r="O9" i="4" l="1"/>
  <c r="P3" i="4"/>
  <c r="P12" i="4" s="1"/>
  <c r="O5" i="4"/>
  <c r="O6" i="4"/>
  <c r="O7" i="4"/>
  <c r="O10" i="4"/>
  <c r="O8" i="4"/>
  <c r="O11" i="4"/>
  <c r="M5" i="3"/>
  <c r="M6" i="3"/>
  <c r="N3" i="3"/>
  <c r="M7" i="3"/>
  <c r="M8" i="3"/>
  <c r="M9" i="3"/>
  <c r="M10" i="3"/>
  <c r="M11" i="3"/>
  <c r="M6" i="2"/>
  <c r="M5" i="2"/>
  <c r="N3" i="2"/>
  <c r="M9" i="2"/>
  <c r="M8" i="2"/>
  <c r="M10" i="2"/>
  <c r="M11" i="2"/>
  <c r="M7" i="2"/>
  <c r="I4" i="1"/>
  <c r="I5" i="1"/>
  <c r="I6" i="1"/>
  <c r="P9" i="4" l="1"/>
  <c r="Q3" i="4"/>
  <c r="Q12" i="4" s="1"/>
  <c r="P5" i="4"/>
  <c r="P7" i="4"/>
  <c r="P6" i="4"/>
  <c r="P10" i="4"/>
  <c r="P8" i="4"/>
  <c r="P11" i="4"/>
  <c r="N6" i="3"/>
  <c r="N5" i="3"/>
  <c r="O3" i="3"/>
  <c r="N7" i="3"/>
  <c r="N8" i="3"/>
  <c r="N10" i="3"/>
  <c r="N9" i="3"/>
  <c r="N11" i="3"/>
  <c r="N6" i="2"/>
  <c r="N5" i="2"/>
  <c r="N9" i="2"/>
  <c r="N8" i="2"/>
  <c r="O3" i="2"/>
  <c r="N10" i="2"/>
  <c r="N11" i="2"/>
  <c r="N7" i="2"/>
  <c r="K3" i="1"/>
  <c r="K8" i="1" s="1"/>
  <c r="J5" i="1"/>
  <c r="J6" i="1"/>
  <c r="J7" i="1"/>
  <c r="I8" i="1"/>
  <c r="H8" i="1"/>
  <c r="F8" i="1"/>
  <c r="R3" i="4" l="1"/>
  <c r="R12" i="4" s="1"/>
  <c r="Q5" i="4"/>
  <c r="Q6" i="4"/>
  <c r="Q9" i="4"/>
  <c r="Q8" i="4"/>
  <c r="Q10" i="4"/>
  <c r="Q7" i="4"/>
  <c r="Q11" i="4"/>
  <c r="O5" i="3"/>
  <c r="O6" i="3"/>
  <c r="P3" i="3"/>
  <c r="O7" i="3"/>
  <c r="O8" i="3"/>
  <c r="O10" i="3"/>
  <c r="O9" i="3"/>
  <c r="O11" i="3"/>
  <c r="O5" i="2"/>
  <c r="O6" i="2"/>
  <c r="P3" i="2"/>
  <c r="Q3" i="2" s="1"/>
  <c r="R3" i="2" s="1"/>
  <c r="O9" i="2"/>
  <c r="O10" i="2"/>
  <c r="O8" i="2"/>
  <c r="O11" i="2"/>
  <c r="O7" i="2"/>
  <c r="L3" i="1"/>
  <c r="K5" i="1"/>
  <c r="K6" i="1"/>
  <c r="K7" i="1"/>
  <c r="L8" i="1"/>
  <c r="G8" i="1"/>
  <c r="E8" i="1"/>
  <c r="J8" i="1"/>
  <c r="R10" i="4" l="1"/>
  <c r="R5" i="4"/>
  <c r="S3" i="4"/>
  <c r="R9" i="4"/>
  <c r="R6" i="4"/>
  <c r="R7" i="4"/>
  <c r="R8" i="4"/>
  <c r="R11" i="4"/>
  <c r="P6" i="3"/>
  <c r="Q3" i="3"/>
  <c r="P5" i="3"/>
  <c r="P7" i="3"/>
  <c r="P8" i="3"/>
  <c r="P10" i="3"/>
  <c r="P9" i="3"/>
  <c r="P11" i="3"/>
  <c r="S3" i="2"/>
  <c r="R8" i="2"/>
  <c r="R6" i="2"/>
  <c r="R9" i="2"/>
  <c r="R5" i="2"/>
  <c r="R10" i="2"/>
  <c r="R11" i="2"/>
  <c r="R7" i="2"/>
  <c r="P6" i="2"/>
  <c r="P5" i="2"/>
  <c r="P8" i="2"/>
  <c r="P9" i="2"/>
  <c r="P10" i="2"/>
  <c r="P11" i="2"/>
  <c r="P7" i="2"/>
  <c r="L5" i="1"/>
  <c r="M3" i="1"/>
  <c r="L6" i="1"/>
  <c r="L7" i="1"/>
  <c r="G9" i="1"/>
  <c r="I9" i="1"/>
  <c r="E9" i="1"/>
  <c r="F9" i="1"/>
  <c r="J9" i="1"/>
  <c r="H9" i="1"/>
  <c r="K9" i="1"/>
  <c r="L9" i="1"/>
  <c r="M9" i="1"/>
  <c r="S12" i="4" l="1"/>
  <c r="S11" i="4"/>
  <c r="S9" i="4"/>
  <c r="S6" i="4"/>
  <c r="S5" i="4"/>
  <c r="T3" i="4"/>
  <c r="S7" i="4"/>
  <c r="S10" i="4"/>
  <c r="S8" i="4"/>
  <c r="Q5" i="3"/>
  <c r="R3" i="3"/>
  <c r="Q6" i="3"/>
  <c r="Q7" i="3"/>
  <c r="Q8" i="3"/>
  <c r="Q10" i="3"/>
  <c r="Q9" i="3"/>
  <c r="Q11" i="3"/>
  <c r="S6" i="2"/>
  <c r="S5" i="2"/>
  <c r="S8" i="2"/>
  <c r="S7" i="2"/>
  <c r="S9" i="2"/>
  <c r="S10" i="2"/>
  <c r="S11" i="2"/>
  <c r="Q6" i="2"/>
  <c r="Q5" i="2"/>
  <c r="Q8" i="2"/>
  <c r="Q9" i="2"/>
  <c r="Q10" i="2"/>
  <c r="Q11" i="2"/>
  <c r="Q7" i="2"/>
  <c r="M5" i="1"/>
  <c r="N3" i="1"/>
  <c r="M6" i="1"/>
  <c r="M7" i="1"/>
  <c r="M8" i="1"/>
  <c r="T12" i="4" l="1"/>
  <c r="T11" i="4"/>
  <c r="T7" i="4"/>
  <c r="T9" i="4"/>
  <c r="T8" i="4"/>
  <c r="T6" i="4"/>
  <c r="T10" i="4"/>
  <c r="T5" i="4"/>
  <c r="U3" i="4"/>
  <c r="R6" i="3"/>
  <c r="S3" i="3"/>
  <c r="R5" i="3"/>
  <c r="R7" i="3"/>
  <c r="R8" i="3"/>
  <c r="R9" i="3"/>
  <c r="R10" i="3"/>
  <c r="R11" i="3"/>
  <c r="N6" i="1"/>
  <c r="N5" i="1"/>
  <c r="O3" i="1"/>
  <c r="N7" i="1"/>
  <c r="N8" i="1"/>
  <c r="N9" i="1"/>
  <c r="K10" i="1"/>
  <c r="I10" i="1"/>
  <c r="L10" i="1"/>
  <c r="E10" i="1"/>
  <c r="M10" i="1"/>
  <c r="G10" i="1"/>
  <c r="H10" i="1"/>
  <c r="J10" i="1"/>
  <c r="N10" i="1"/>
  <c r="O10" i="1"/>
  <c r="F10" i="1"/>
  <c r="U12" i="4" l="1"/>
  <c r="U11" i="4"/>
  <c r="U5" i="4"/>
  <c r="U10" i="4"/>
  <c r="U7" i="4"/>
  <c r="U6" i="4"/>
  <c r="U8" i="4"/>
  <c r="U9" i="4"/>
  <c r="S6" i="3"/>
  <c r="T3" i="3"/>
  <c r="S5" i="3"/>
  <c r="S7" i="3"/>
  <c r="S8" i="3"/>
  <c r="S10" i="3"/>
  <c r="S9" i="3"/>
  <c r="S11" i="3"/>
  <c r="T3" i="2"/>
  <c r="O7" i="1"/>
  <c r="O5" i="1"/>
  <c r="O6" i="1"/>
  <c r="P3" i="1"/>
  <c r="O8" i="1"/>
  <c r="O9" i="1"/>
  <c r="V3" i="4" l="1"/>
  <c r="T6" i="3"/>
  <c r="U3" i="3"/>
  <c r="T5" i="3"/>
  <c r="T7" i="3"/>
  <c r="T8" i="3"/>
  <c r="T9" i="3"/>
  <c r="T10" i="3"/>
  <c r="T11" i="3"/>
  <c r="T6" i="2"/>
  <c r="T5" i="2"/>
  <c r="U3" i="2"/>
  <c r="T10" i="2"/>
  <c r="T8" i="2"/>
  <c r="T9" i="2"/>
  <c r="T7" i="2"/>
  <c r="T11" i="2"/>
  <c r="P7" i="1"/>
  <c r="P6" i="1"/>
  <c r="P5" i="1"/>
  <c r="Q3" i="1"/>
  <c r="P8" i="1"/>
  <c r="P9" i="1"/>
  <c r="P10" i="1"/>
  <c r="L11" i="1"/>
  <c r="E11" i="1"/>
  <c r="G11" i="1"/>
  <c r="F11" i="1"/>
  <c r="O11" i="1"/>
  <c r="I11" i="1"/>
  <c r="K11" i="1"/>
  <c r="H11" i="1"/>
  <c r="M11" i="1"/>
  <c r="N11" i="1"/>
  <c r="J11" i="1"/>
  <c r="P11" i="1"/>
  <c r="V12" i="4" l="1"/>
  <c r="V11" i="4"/>
  <c r="V5" i="4"/>
  <c r="V6" i="4"/>
  <c r="W3" i="4"/>
  <c r="W12" i="4" s="1"/>
  <c r="V8" i="4"/>
  <c r="V7" i="4"/>
  <c r="V9" i="4"/>
  <c r="V10" i="4"/>
  <c r="U5" i="3"/>
  <c r="U6" i="3"/>
  <c r="V3" i="3"/>
  <c r="V11" i="3" s="1"/>
  <c r="U7" i="3"/>
  <c r="U8" i="3"/>
  <c r="U9" i="3"/>
  <c r="U10" i="3"/>
  <c r="U11" i="3"/>
  <c r="U6" i="2"/>
  <c r="U5" i="2"/>
  <c r="V3" i="2"/>
  <c r="U10" i="2"/>
  <c r="U9" i="2"/>
  <c r="U8" i="2"/>
  <c r="U11" i="2"/>
  <c r="U7" i="2"/>
  <c r="R3" i="1"/>
  <c r="Q5" i="1"/>
  <c r="Q7" i="1"/>
  <c r="Q6" i="1"/>
  <c r="Q8" i="1"/>
  <c r="Q9" i="1"/>
  <c r="Q10" i="1"/>
  <c r="Q11" i="1"/>
  <c r="W5" i="4" l="1"/>
  <c r="X3" i="4"/>
  <c r="W6" i="4"/>
  <c r="W8" i="4"/>
  <c r="W7" i="4"/>
  <c r="W10" i="4"/>
  <c r="W9" i="4"/>
  <c r="W11" i="4"/>
  <c r="V5" i="3"/>
  <c r="V6" i="3"/>
  <c r="W3" i="3"/>
  <c r="W11" i="3" s="1"/>
  <c r="V7" i="3"/>
  <c r="V8" i="3"/>
  <c r="V10" i="3"/>
  <c r="V9" i="3"/>
  <c r="V5" i="2"/>
  <c r="V6" i="2"/>
  <c r="W3" i="2"/>
  <c r="V8" i="2"/>
  <c r="V9" i="2"/>
  <c r="V10" i="2"/>
  <c r="V7" i="2"/>
  <c r="V11" i="2"/>
  <c r="R8" i="1"/>
  <c r="R6" i="1"/>
  <c r="S3" i="1"/>
  <c r="R7" i="1"/>
  <c r="R5" i="1"/>
  <c r="R9" i="1"/>
  <c r="R10" i="1"/>
  <c r="R11" i="1"/>
  <c r="X12" i="4" l="1"/>
  <c r="X10" i="4"/>
  <c r="X5" i="4"/>
  <c r="X6" i="4"/>
  <c r="Y3" i="4"/>
  <c r="X8" i="4"/>
  <c r="X7" i="4"/>
  <c r="X9" i="4"/>
  <c r="X11" i="4"/>
  <c r="W6" i="3"/>
  <c r="W5" i="3"/>
  <c r="X3" i="3"/>
  <c r="X11" i="3" s="1"/>
  <c r="W7" i="3"/>
  <c r="W8" i="3"/>
  <c r="W9" i="3"/>
  <c r="W10" i="3"/>
  <c r="W5" i="2"/>
  <c r="W6" i="2"/>
  <c r="X3" i="2"/>
  <c r="W8" i="2"/>
  <c r="W10" i="2"/>
  <c r="W9" i="2"/>
  <c r="W11" i="2"/>
  <c r="W7" i="2"/>
  <c r="T3" i="1"/>
  <c r="S6" i="1"/>
  <c r="S5" i="1"/>
  <c r="S9" i="1"/>
  <c r="S8" i="1"/>
  <c r="S7" i="1"/>
  <c r="S10" i="1"/>
  <c r="S11" i="1"/>
  <c r="Y12" i="4" l="1"/>
  <c r="Y10" i="4"/>
  <c r="Y11" i="4"/>
  <c r="Y5" i="4"/>
  <c r="Y6" i="4"/>
  <c r="Y8" i="4"/>
  <c r="Y7" i="4"/>
  <c r="Y9" i="4"/>
  <c r="Y3" i="3"/>
  <c r="X5" i="3"/>
  <c r="X6" i="3"/>
  <c r="X7" i="3"/>
  <c r="X8" i="3"/>
  <c r="X9" i="3"/>
  <c r="X10" i="3"/>
  <c r="X6" i="2"/>
  <c r="X5" i="2"/>
  <c r="X8" i="2"/>
  <c r="Y3" i="2"/>
  <c r="X9" i="2"/>
  <c r="X10" i="2"/>
  <c r="X7" i="2"/>
  <c r="X11" i="2"/>
  <c r="T8" i="1"/>
  <c r="T5" i="1"/>
  <c r="T7" i="1"/>
  <c r="T6" i="1"/>
  <c r="T10" i="1"/>
  <c r="U3" i="1"/>
  <c r="T9" i="1"/>
  <c r="T11" i="1"/>
  <c r="Y5" i="3" l="1"/>
  <c r="Y6" i="3"/>
  <c r="Y7" i="3"/>
  <c r="Y8" i="3"/>
  <c r="Y10" i="3"/>
  <c r="Y9" i="3"/>
  <c r="Y11" i="3"/>
  <c r="Y6" i="2"/>
  <c r="Y5" i="2"/>
  <c r="Y8" i="2"/>
  <c r="Y9" i="2"/>
  <c r="Y10" i="2"/>
  <c r="Y11" i="2"/>
  <c r="Y7" i="2"/>
  <c r="U5" i="1"/>
  <c r="U9" i="1"/>
  <c r="U8" i="1"/>
  <c r="V3" i="1"/>
  <c r="U10" i="1"/>
  <c r="U6" i="1"/>
  <c r="U7" i="1"/>
  <c r="U11" i="1"/>
  <c r="V6" i="1" l="1"/>
  <c r="V10" i="1"/>
  <c r="W3" i="1"/>
  <c r="V7" i="1"/>
  <c r="V5" i="1"/>
  <c r="V9" i="1"/>
  <c r="V8" i="1"/>
  <c r="V11" i="1"/>
  <c r="W11" i="1" l="1"/>
  <c r="W6" i="1"/>
  <c r="W10" i="1"/>
  <c r="W5" i="1"/>
  <c r="W9" i="1"/>
  <c r="W8" i="1"/>
  <c r="X3" i="1"/>
  <c r="W7" i="1"/>
  <c r="X7" i="1" l="1"/>
  <c r="X11" i="1"/>
  <c r="X9" i="1"/>
  <c r="X10" i="1"/>
  <c r="Y3" i="1"/>
  <c r="X6" i="1"/>
  <c r="X5" i="1"/>
  <c r="X8" i="1"/>
  <c r="Y7" i="1" l="1"/>
  <c r="Y10" i="1"/>
  <c r="Y5" i="1"/>
  <c r="Y8" i="1"/>
  <c r="Y11" i="1"/>
  <c r="Y6" i="1"/>
  <c r="Y9" i="1"/>
</calcChain>
</file>

<file path=xl/sharedStrings.xml><?xml version="1.0" encoding="utf-8"?>
<sst xmlns="http://schemas.openxmlformats.org/spreadsheetml/2006/main" count="49" uniqueCount="14">
  <si>
    <t>Tareas</t>
  </si>
  <si>
    <t>Fecha Inicio</t>
  </si>
  <si>
    <t>Duracion (semanas)</t>
  </si>
  <si>
    <t>Fecha Fin</t>
  </si>
  <si>
    <t>- Permitir modificación en las entregas: importe del servicio y fecha de entrega, y añadir documentación adicional</t>
  </si>
  <si>
    <t>- Retroalimentación del SGI al gestor al validar encargos/entregas</t>
  </si>
  <si>
    <t>- Avisos al gestor de encargos/entregas pendientes de confirmación por el cliente</t>
  </si>
  <si>
    <t>- Permitir introducir la fecha aceptación en los encargos formalizados previamente (ahorrar un paso al gestor)</t>
  </si>
  <si>
    <t>- Adaptar la información de seguimiento que ven los gestores para mejorar su utilidad, según las sugerencias ya recibidas</t>
  </si>
  <si>
    <t>- Permitir comunicación en inglés con los clientes</t>
  </si>
  <si>
    <t>- Descarga automática de códigos DIR3 del portal FACe y selección de códigos en la solicitud</t>
  </si>
  <si>
    <t>- Gestión encargos/entregas de actividad "Licencias de software". Incluir en el circuito de validaciones al I2T</t>
  </si>
  <si>
    <t>Permitir comunicación en inglés con los clientes (Falta pantalla de entrega)</t>
  </si>
  <si>
    <t xml:space="preserve">Participantes SENIA.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</si>
</sst>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trike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14" fontId="4" fillId="0" borderId="7" xfId="0" applyNumberFormat="1" applyFont="1" applyBorder="1"/>
    <xf numFmtId="0" fontId="4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4" fontId="2" fillId="0" borderId="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14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17" xfId="0" applyBorder="1"/>
    <xf numFmtId="0" fontId="4" fillId="0" borderId="0" xfId="0" applyFont="1" applyAlignment="1">
      <alignment vertical="center" wrapText="1"/>
    </xf>
    <xf numFmtId="0" fontId="0" fillId="0" borderId="18" xfId="0" applyBorder="1"/>
    <xf numFmtId="0" fontId="0" fillId="0" borderId="19" xfId="0" applyBorder="1"/>
    <xf numFmtId="14" fontId="0" fillId="0" borderId="5" xfId="0" applyNumberFormat="1" applyBorder="1"/>
    <xf numFmtId="0" fontId="5" fillId="0" borderId="4" xfId="0" applyFont="1" applyBorder="1" applyAlignment="1">
      <alignment vertical="center" wrapText="1"/>
    </xf>
    <xf numFmtId="14" fontId="0" fillId="0" borderId="20" xfId="0" applyNumberForma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14" fontId="4" fillId="4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1" xfId="0" applyBorder="1"/>
  </cellXfs>
  <cellStyles count="1">
    <cellStyle name="Normal" xfId="0" builtinId="0"/>
  </cellStyles>
  <dxfs count="14"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A2FA-2066-A84E-9970-18B6B6616933}">
  <dimension ref="A2:Y12"/>
  <sheetViews>
    <sheetView zoomScale="87" zoomScaleNormal="57" workbookViewId="0">
      <selection activeCell="A8" sqref="A8"/>
    </sheetView>
  </sheetViews>
  <sheetFormatPr defaultColWidth="11" defaultRowHeight="15.75"/>
  <cols>
    <col min="1" max="1" width="90.875" customWidth="1"/>
    <col min="2" max="2" width="17.625" customWidth="1"/>
    <col min="3" max="3" width="15.5" style="4" customWidth="1"/>
    <col min="4" max="4" width="16.375" customWidth="1"/>
    <col min="5" max="5" width="14.125" customWidth="1"/>
    <col min="6" max="17" width="14.375" bestFit="1" customWidth="1"/>
  </cols>
  <sheetData>
    <row r="2" spans="1:25" ht="16.5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I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ref="J3:Y3" si="1">I3+7</f>
        <v>45396</v>
      </c>
      <c r="K3" s="15">
        <f t="shared" si="1"/>
        <v>45403</v>
      </c>
      <c r="L3" s="15">
        <f t="shared" si="1"/>
        <v>45410</v>
      </c>
      <c r="M3" s="15">
        <f t="shared" si="1"/>
        <v>45417</v>
      </c>
      <c r="N3" s="15">
        <f t="shared" si="1"/>
        <v>45424</v>
      </c>
      <c r="O3" s="15">
        <f t="shared" si="1"/>
        <v>45431</v>
      </c>
      <c r="P3" s="15">
        <f t="shared" si="1"/>
        <v>45438</v>
      </c>
      <c r="Q3" s="16">
        <f t="shared" si="1"/>
        <v>45445</v>
      </c>
      <c r="R3" s="3">
        <f t="shared" si="1"/>
        <v>45452</v>
      </c>
      <c r="S3" s="3">
        <f t="shared" si="1"/>
        <v>45459</v>
      </c>
      <c r="T3" s="3">
        <f t="shared" si="1"/>
        <v>45466</v>
      </c>
      <c r="U3" s="3">
        <f t="shared" si="1"/>
        <v>45473</v>
      </c>
      <c r="V3" s="3">
        <f t="shared" si="1"/>
        <v>45480</v>
      </c>
      <c r="W3" s="3">
        <f t="shared" si="1"/>
        <v>45487</v>
      </c>
      <c r="X3" s="3">
        <f t="shared" si="1"/>
        <v>45494</v>
      </c>
      <c r="Y3" s="3">
        <f t="shared" si="1"/>
        <v>45501</v>
      </c>
    </row>
    <row r="4" spans="1:25" ht="50.1" customHeight="1">
      <c r="A4" s="20" t="s">
        <v>4</v>
      </c>
      <c r="B4" s="21">
        <v>45357</v>
      </c>
      <c r="C4" s="22">
        <v>5</v>
      </c>
      <c r="D4" s="21">
        <f t="shared" ref="D4:D11" si="2">B4+C4*7</f>
        <v>45392</v>
      </c>
      <c r="E4">
        <f>IF(AND($B4&lt;=E$3,E$3&lt;$D4),1,0)</f>
        <v>1</v>
      </c>
      <c r="F4">
        <f t="shared" ref="F4:Y11" si="3">IF(AND($B4&lt;=F$3,F$3&lt;$D4),1,0)</f>
        <v>1</v>
      </c>
      <c r="G4">
        <f t="shared" si="3"/>
        <v>1</v>
      </c>
      <c r="H4">
        <f t="shared" si="3"/>
        <v>1</v>
      </c>
      <c r="I4">
        <f t="shared" si="3"/>
        <v>1</v>
      </c>
      <c r="Q4" s="10"/>
      <c r="R4" s="1"/>
      <c r="S4" s="1"/>
      <c r="T4" s="1"/>
      <c r="U4" s="1"/>
      <c r="V4" s="1"/>
      <c r="W4" s="1"/>
      <c r="X4" s="1"/>
      <c r="Y4" s="1"/>
    </row>
    <row r="5" spans="1:25" ht="50.1" customHeight="1">
      <c r="A5" s="20" t="s">
        <v>5</v>
      </c>
      <c r="B5" s="21">
        <v>45357</v>
      </c>
      <c r="C5" s="23">
        <v>5</v>
      </c>
      <c r="D5" s="21">
        <f t="shared" si="2"/>
        <v>45392</v>
      </c>
      <c r="E5">
        <f>IF(AND($B5&lt;=E$3,E$3&lt;$D5),1,0)</f>
        <v>1</v>
      </c>
      <c r="F5">
        <f t="shared" si="3"/>
        <v>1</v>
      </c>
      <c r="G5">
        <f t="shared" si="3"/>
        <v>1</v>
      </c>
      <c r="H5">
        <f t="shared" si="3"/>
        <v>1</v>
      </c>
      <c r="I5">
        <f t="shared" si="3"/>
        <v>1</v>
      </c>
      <c r="J5">
        <f t="shared" si="3"/>
        <v>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 s="10">
        <f t="shared" si="3"/>
        <v>0</v>
      </c>
      <c r="R5">
        <f t="shared" si="3"/>
        <v>0</v>
      </c>
      <c r="S5">
        <f t="shared" si="3"/>
        <v>0</v>
      </c>
      <c r="T5">
        <f t="shared" si="3"/>
        <v>0</v>
      </c>
      <c r="U5">
        <f t="shared" si="3"/>
        <v>0</v>
      </c>
      <c r="V5">
        <f t="shared" si="3"/>
        <v>0</v>
      </c>
      <c r="W5">
        <f t="shared" si="3"/>
        <v>0</v>
      </c>
      <c r="X5">
        <f t="shared" si="3"/>
        <v>0</v>
      </c>
      <c r="Y5">
        <f t="shared" si="3"/>
        <v>0</v>
      </c>
    </row>
    <row r="6" spans="1:25" ht="50.1" customHeight="1">
      <c r="A6" s="20" t="s">
        <v>6</v>
      </c>
      <c r="B6" s="21">
        <v>45357</v>
      </c>
      <c r="C6" s="22">
        <v>5</v>
      </c>
      <c r="D6" s="21">
        <f t="shared" si="2"/>
        <v>45392</v>
      </c>
      <c r="E6">
        <f t="shared" ref="E6:P11" si="4">IF(AND($B6&lt;=E$3,E$3&lt;$D6),1,0)</f>
        <v>1</v>
      </c>
      <c r="F6">
        <f t="shared" si="4"/>
        <v>1</v>
      </c>
      <c r="G6">
        <f t="shared" si="4"/>
        <v>1</v>
      </c>
      <c r="H6">
        <f t="shared" si="4"/>
        <v>1</v>
      </c>
      <c r="I6">
        <f t="shared" si="4"/>
        <v>1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 s="10">
        <f t="shared" si="3"/>
        <v>0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0</v>
      </c>
      <c r="X6">
        <f t="shared" si="3"/>
        <v>0</v>
      </c>
      <c r="Y6">
        <f t="shared" si="3"/>
        <v>0</v>
      </c>
    </row>
    <row r="7" spans="1:25" ht="50.1" customHeight="1">
      <c r="A7" s="20" t="s">
        <v>7</v>
      </c>
      <c r="B7" s="21">
        <f>D6</f>
        <v>45392</v>
      </c>
      <c r="C7" s="22">
        <v>4</v>
      </c>
      <c r="D7" s="21">
        <v>45412</v>
      </c>
      <c r="E7">
        <f t="shared" si="4"/>
        <v>0</v>
      </c>
      <c r="F7">
        <f t="shared" si="4"/>
        <v>0</v>
      </c>
      <c r="G7">
        <f t="shared" si="4"/>
        <v>0</v>
      </c>
      <c r="H7">
        <f t="shared" si="4"/>
        <v>0</v>
      </c>
      <c r="I7">
        <f t="shared" si="4"/>
        <v>0</v>
      </c>
      <c r="J7">
        <f t="shared" si="3"/>
        <v>1</v>
      </c>
      <c r="K7">
        <f t="shared" si="3"/>
        <v>1</v>
      </c>
      <c r="L7">
        <f t="shared" si="3"/>
        <v>1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 s="10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</row>
    <row r="8" spans="1:25" ht="50.1" customHeight="1">
      <c r="A8" s="18" t="s">
        <v>8</v>
      </c>
      <c r="B8" s="5">
        <f>D6</f>
        <v>45392</v>
      </c>
      <c r="C8" s="6">
        <v>3</v>
      </c>
      <c r="D8" s="5">
        <v>45412</v>
      </c>
      <c r="E8">
        <f t="shared" si="4"/>
        <v>0</v>
      </c>
      <c r="F8">
        <f t="shared" si="4"/>
        <v>0</v>
      </c>
      <c r="G8">
        <f t="shared" si="4"/>
        <v>0</v>
      </c>
      <c r="H8">
        <f t="shared" si="4"/>
        <v>0</v>
      </c>
      <c r="I8">
        <f t="shared" si="4"/>
        <v>0</v>
      </c>
      <c r="J8">
        <f t="shared" si="3"/>
        <v>1</v>
      </c>
      <c r="K8">
        <f t="shared" si="3"/>
        <v>1</v>
      </c>
      <c r="L8">
        <f t="shared" si="3"/>
        <v>1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 s="10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</row>
    <row r="9" spans="1:25" ht="50.1" customHeight="1">
      <c r="A9" s="18" t="s">
        <v>9</v>
      </c>
      <c r="B9" s="5">
        <f>D8</f>
        <v>45412</v>
      </c>
      <c r="C9" s="6">
        <v>2</v>
      </c>
      <c r="D9" s="5">
        <f t="shared" si="2"/>
        <v>45426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1</v>
      </c>
      <c r="N9">
        <f t="shared" si="3"/>
        <v>1</v>
      </c>
      <c r="O9">
        <f t="shared" si="3"/>
        <v>0</v>
      </c>
      <c r="P9">
        <f t="shared" si="3"/>
        <v>0</v>
      </c>
      <c r="Q9" s="10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</row>
    <row r="10" spans="1:25" ht="50.1" customHeight="1">
      <c r="A10" s="18" t="s">
        <v>10</v>
      </c>
      <c r="B10" s="5">
        <f>D8</f>
        <v>45412</v>
      </c>
      <c r="C10" s="6">
        <v>2</v>
      </c>
      <c r="D10" s="5">
        <f t="shared" si="2"/>
        <v>45426</v>
      </c>
      <c r="E10">
        <f t="shared" si="4"/>
        <v>0</v>
      </c>
      <c r="F10">
        <f t="shared" si="4"/>
        <v>0</v>
      </c>
      <c r="G10">
        <f t="shared" si="4"/>
        <v>0</v>
      </c>
      <c r="H10">
        <f t="shared" si="4"/>
        <v>0</v>
      </c>
      <c r="I10">
        <f t="shared" si="4"/>
        <v>0</v>
      </c>
      <c r="J10">
        <f t="shared" si="3"/>
        <v>0</v>
      </c>
      <c r="K10">
        <f t="shared" si="3"/>
        <v>0</v>
      </c>
      <c r="L10">
        <f t="shared" si="3"/>
        <v>0</v>
      </c>
      <c r="M10">
        <f t="shared" si="3"/>
        <v>1</v>
      </c>
      <c r="N10">
        <f t="shared" si="3"/>
        <v>1</v>
      </c>
      <c r="O10">
        <f t="shared" si="3"/>
        <v>0</v>
      </c>
      <c r="P10">
        <f t="shared" si="3"/>
        <v>0</v>
      </c>
      <c r="Q10" s="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</row>
    <row r="11" spans="1:25" ht="50.1" customHeight="1" thickBot="1">
      <c r="A11" s="19" t="s">
        <v>11</v>
      </c>
      <c r="B11" s="11">
        <f>D10</f>
        <v>45426</v>
      </c>
      <c r="C11" s="12">
        <v>3</v>
      </c>
      <c r="D11" s="11">
        <f t="shared" si="2"/>
        <v>45447</v>
      </c>
      <c r="E11" s="13">
        <f t="shared" si="4"/>
        <v>0</v>
      </c>
      <c r="F11" s="13">
        <f t="shared" si="4"/>
        <v>0</v>
      </c>
      <c r="G11" s="13">
        <f t="shared" si="4"/>
        <v>0</v>
      </c>
      <c r="H11" s="13">
        <f t="shared" si="4"/>
        <v>0</v>
      </c>
      <c r="I11" s="13">
        <f t="shared" si="4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si="3"/>
        <v>1</v>
      </c>
      <c r="P11" s="13">
        <f t="shared" si="3"/>
        <v>1</v>
      </c>
      <c r="Q11" s="14">
        <f t="shared" si="3"/>
        <v>1</v>
      </c>
      <c r="R11">
        <f t="shared" si="3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</row>
    <row r="12" spans="1:25">
      <c r="B12" s="1"/>
      <c r="D12" s="1"/>
    </row>
  </sheetData>
  <conditionalFormatting sqref="E4:Q4">
    <cfRule type="cellIs" dxfId="13" priority="1" operator="equal">
      <formula>0</formula>
    </cfRule>
    <cfRule type="cellIs" dxfId="12" priority="2" operator="equal">
      <formula>1</formula>
    </cfRule>
  </conditionalFormatting>
  <conditionalFormatting sqref="E5:Y11">
    <cfRule type="cellIs" dxfId="11" priority="15" operator="equal">
      <formula>0</formula>
    </cfRule>
    <cfRule type="cellIs" dxfId="10" priority="16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3856-321B-4B53-9999-7F0F2FB74E05}">
  <dimension ref="A2:Y12"/>
  <sheetViews>
    <sheetView zoomScale="85" zoomScaleNormal="50" workbookViewId="0">
      <selection sqref="A1:XFD1048576"/>
    </sheetView>
  </sheetViews>
  <sheetFormatPr defaultColWidth="11" defaultRowHeight="15.75"/>
  <cols>
    <col min="1" max="1" width="71.375" customWidth="1"/>
    <col min="2" max="2" width="16.125" bestFit="1" customWidth="1"/>
    <col min="3" max="3" width="14.625" style="4" bestFit="1" customWidth="1"/>
    <col min="4" max="4" width="16.125" bestFit="1" customWidth="1"/>
    <col min="5" max="5" width="14.125" hidden="1" customWidth="1"/>
    <col min="6" max="9" width="14.375" hidden="1" customWidth="1"/>
    <col min="10" max="10" width="16.5" customWidth="1"/>
    <col min="11" max="11" width="16.125" customWidth="1"/>
    <col min="12" max="12" width="15.625" customWidth="1"/>
    <col min="13" max="14" width="16" customWidth="1"/>
    <col min="15" max="15" width="16.125" customWidth="1"/>
    <col min="16" max="17" width="16" customWidth="1"/>
    <col min="18" max="18" width="15.625" customWidth="1"/>
    <col min="19" max="19" width="15.875" customWidth="1"/>
    <col min="20" max="20" width="16.125" customWidth="1"/>
  </cols>
  <sheetData>
    <row r="2" spans="1:25" ht="16.5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27">
        <f t="shared" si="0"/>
        <v>45438</v>
      </c>
      <c r="Q3" s="27">
        <f t="shared" ref="Q3" si="1">P3+7</f>
        <v>45445</v>
      </c>
      <c r="R3" s="27">
        <f t="shared" ref="R3" si="2">Q3+7</f>
        <v>45452</v>
      </c>
      <c r="S3" s="16">
        <f t="shared" ref="S3" si="3">R3+7</f>
        <v>45459</v>
      </c>
      <c r="T3" s="3">
        <f t="shared" si="0"/>
        <v>45466</v>
      </c>
      <c r="U3" s="3">
        <f t="shared" si="0"/>
        <v>45473</v>
      </c>
      <c r="V3" s="3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>
      <c r="A4" s="20" t="s">
        <v>4</v>
      </c>
      <c r="B4" s="21">
        <v>45357</v>
      </c>
      <c r="C4" s="22">
        <v>5</v>
      </c>
      <c r="D4" s="21">
        <f t="shared" ref="D4:D11" si="4">B4+C4*7</f>
        <v>45392</v>
      </c>
      <c r="E4">
        <f>IF(AND($B4&lt;=E$3,E$3&lt;$D4),1,0)</f>
        <v>1</v>
      </c>
      <c r="F4">
        <f t="shared" ref="F4:Y11" si="5">IF(AND($B4&lt;=F$3,F$3&lt;$D4),1,0)</f>
        <v>1</v>
      </c>
      <c r="G4">
        <f t="shared" si="5"/>
        <v>1</v>
      </c>
      <c r="H4">
        <f t="shared" si="5"/>
        <v>1</v>
      </c>
      <c r="I4">
        <f t="shared" si="5"/>
        <v>1</v>
      </c>
      <c r="S4" s="10"/>
      <c r="T4" s="1"/>
      <c r="U4" s="1"/>
      <c r="V4" s="1"/>
      <c r="W4" s="1"/>
      <c r="X4" s="1"/>
      <c r="Y4" s="1"/>
    </row>
    <row r="5" spans="1:25" ht="50.1" hidden="1" customHeight="1">
      <c r="A5" s="20" t="s">
        <v>5</v>
      </c>
      <c r="B5" s="21">
        <v>45357</v>
      </c>
      <c r="C5" s="23">
        <v>5</v>
      </c>
      <c r="D5" s="21">
        <f t="shared" si="4"/>
        <v>45392</v>
      </c>
      <c r="E5">
        <f>IF(AND($B5&lt;=E$3,E$3&lt;$D5),1,0)</f>
        <v>1</v>
      </c>
      <c r="F5">
        <f t="shared" si="5"/>
        <v>1</v>
      </c>
      <c r="G5">
        <f t="shared" si="5"/>
        <v>1</v>
      </c>
      <c r="H5">
        <f t="shared" si="5"/>
        <v>1</v>
      </c>
      <c r="I5">
        <f t="shared" si="5"/>
        <v>1</v>
      </c>
      <c r="J5">
        <f t="shared" si="5"/>
        <v>0</v>
      </c>
      <c r="K5">
        <f t="shared" si="5"/>
        <v>0</v>
      </c>
      <c r="L5">
        <f t="shared" si="5"/>
        <v>0</v>
      </c>
      <c r="M5">
        <f t="shared" si="5"/>
        <v>0</v>
      </c>
      <c r="N5">
        <f t="shared" si="5"/>
        <v>0</v>
      </c>
      <c r="O5">
        <f t="shared" si="5"/>
        <v>0</v>
      </c>
      <c r="P5">
        <f t="shared" si="5"/>
        <v>0</v>
      </c>
      <c r="Q5">
        <f t="shared" si="5"/>
        <v>0</v>
      </c>
      <c r="R5">
        <f t="shared" si="5"/>
        <v>0</v>
      </c>
      <c r="S5" s="10">
        <f t="shared" si="5"/>
        <v>0</v>
      </c>
      <c r="T5">
        <f t="shared" si="5"/>
        <v>0</v>
      </c>
      <c r="U5">
        <f t="shared" si="5"/>
        <v>0</v>
      </c>
      <c r="V5">
        <f t="shared" si="5"/>
        <v>0</v>
      </c>
      <c r="W5">
        <f t="shared" si="5"/>
        <v>0</v>
      </c>
      <c r="X5">
        <f t="shared" si="5"/>
        <v>0</v>
      </c>
      <c r="Y5">
        <f t="shared" si="5"/>
        <v>0</v>
      </c>
    </row>
    <row r="6" spans="1:25" ht="50.1" hidden="1" customHeight="1">
      <c r="A6" s="20" t="s">
        <v>6</v>
      </c>
      <c r="B6" s="21">
        <v>45357</v>
      </c>
      <c r="C6" s="22">
        <v>5</v>
      </c>
      <c r="D6" s="21">
        <f t="shared" si="4"/>
        <v>45392</v>
      </c>
      <c r="E6">
        <f t="shared" ref="E6:P11" si="6">IF(AND($B6&lt;=E$3,E$3&lt;$D6),1,0)</f>
        <v>1</v>
      </c>
      <c r="F6">
        <f t="shared" si="6"/>
        <v>1</v>
      </c>
      <c r="G6">
        <f t="shared" si="6"/>
        <v>1</v>
      </c>
      <c r="H6">
        <f t="shared" si="6"/>
        <v>1</v>
      </c>
      <c r="I6">
        <f t="shared" si="6"/>
        <v>1</v>
      </c>
      <c r="J6">
        <f t="shared" si="6"/>
        <v>0</v>
      </c>
      <c r="K6">
        <f t="shared" si="6"/>
        <v>0</v>
      </c>
      <c r="L6">
        <f t="shared" si="6"/>
        <v>0</v>
      </c>
      <c r="M6">
        <f t="shared" si="6"/>
        <v>0</v>
      </c>
      <c r="N6">
        <f t="shared" si="6"/>
        <v>0</v>
      </c>
      <c r="O6">
        <f t="shared" si="6"/>
        <v>0</v>
      </c>
      <c r="P6">
        <f t="shared" si="6"/>
        <v>0</v>
      </c>
      <c r="Q6">
        <f t="shared" si="5"/>
        <v>0</v>
      </c>
      <c r="R6">
        <f t="shared" si="5"/>
        <v>0</v>
      </c>
      <c r="S6" s="10">
        <f t="shared" si="5"/>
        <v>0</v>
      </c>
      <c r="T6">
        <f t="shared" si="5"/>
        <v>0</v>
      </c>
      <c r="U6">
        <f t="shared" si="5"/>
        <v>0</v>
      </c>
      <c r="V6">
        <f t="shared" si="5"/>
        <v>0</v>
      </c>
      <c r="W6">
        <f t="shared" si="5"/>
        <v>0</v>
      </c>
      <c r="X6">
        <f t="shared" si="5"/>
        <v>0</v>
      </c>
      <c r="Y6">
        <f t="shared" si="5"/>
        <v>0</v>
      </c>
    </row>
    <row r="7" spans="1:25" ht="46.5">
      <c r="A7" s="24" t="s">
        <v>7</v>
      </c>
      <c r="B7" s="25">
        <f>D6</f>
        <v>45392</v>
      </c>
      <c r="C7" s="26">
        <v>5</v>
      </c>
      <c r="D7" s="25">
        <f t="shared" si="4"/>
        <v>45427</v>
      </c>
      <c r="E7">
        <f t="shared" si="6"/>
        <v>0</v>
      </c>
      <c r="F7">
        <f t="shared" si="6"/>
        <v>0</v>
      </c>
      <c r="G7">
        <f t="shared" si="6"/>
        <v>0</v>
      </c>
      <c r="H7">
        <f t="shared" si="6"/>
        <v>0</v>
      </c>
      <c r="I7">
        <f t="shared" si="6"/>
        <v>0</v>
      </c>
      <c r="J7">
        <f t="shared" si="5"/>
        <v>1</v>
      </c>
      <c r="K7">
        <f t="shared" si="5"/>
        <v>1</v>
      </c>
      <c r="L7">
        <f t="shared" si="5"/>
        <v>1</v>
      </c>
      <c r="M7">
        <f t="shared" si="5"/>
        <v>1</v>
      </c>
      <c r="N7">
        <f t="shared" si="5"/>
        <v>1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 s="10">
        <f t="shared" si="5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f t="shared" si="5"/>
        <v>0</v>
      </c>
    </row>
    <row r="8" spans="1:25" ht="69.75">
      <c r="A8" s="24" t="s">
        <v>8</v>
      </c>
      <c r="B8" s="25">
        <f>D6</f>
        <v>45392</v>
      </c>
      <c r="C8" s="26">
        <v>5</v>
      </c>
      <c r="D8" s="25">
        <f t="shared" si="4"/>
        <v>45427</v>
      </c>
      <c r="E8">
        <f t="shared" si="6"/>
        <v>0</v>
      </c>
      <c r="F8">
        <f t="shared" si="6"/>
        <v>0</v>
      </c>
      <c r="G8">
        <f t="shared" si="6"/>
        <v>0</v>
      </c>
      <c r="H8">
        <f t="shared" si="6"/>
        <v>0</v>
      </c>
      <c r="I8">
        <f t="shared" si="6"/>
        <v>0</v>
      </c>
      <c r="J8">
        <f t="shared" si="5"/>
        <v>1</v>
      </c>
      <c r="K8">
        <f t="shared" si="5"/>
        <v>1</v>
      </c>
      <c r="L8">
        <f t="shared" si="5"/>
        <v>1</v>
      </c>
      <c r="M8">
        <f t="shared" si="5"/>
        <v>1</v>
      </c>
      <c r="N8">
        <f t="shared" si="5"/>
        <v>1</v>
      </c>
      <c r="O8">
        <f t="shared" si="5"/>
        <v>0</v>
      </c>
      <c r="P8">
        <f t="shared" si="5"/>
        <v>0</v>
      </c>
      <c r="Q8">
        <f t="shared" si="5"/>
        <v>0</v>
      </c>
      <c r="R8">
        <f t="shared" si="5"/>
        <v>0</v>
      </c>
      <c r="S8" s="10">
        <f t="shared" si="5"/>
        <v>0</v>
      </c>
      <c r="T8">
        <f t="shared" si="5"/>
        <v>0</v>
      </c>
      <c r="U8">
        <f t="shared" si="5"/>
        <v>0</v>
      </c>
      <c r="V8">
        <f t="shared" si="5"/>
        <v>0</v>
      </c>
      <c r="W8">
        <f t="shared" si="5"/>
        <v>0</v>
      </c>
      <c r="X8">
        <f t="shared" si="5"/>
        <v>0</v>
      </c>
      <c r="Y8">
        <f t="shared" si="5"/>
        <v>0</v>
      </c>
    </row>
    <row r="9" spans="1:25" ht="54.75" customHeight="1">
      <c r="A9" s="18" t="s">
        <v>9</v>
      </c>
      <c r="B9" s="5">
        <f>D8</f>
        <v>45427</v>
      </c>
      <c r="C9" s="6">
        <v>2</v>
      </c>
      <c r="D9" s="5">
        <f t="shared" si="4"/>
        <v>45441</v>
      </c>
      <c r="E9">
        <f t="shared" si="6"/>
        <v>0</v>
      </c>
      <c r="F9">
        <f t="shared" si="6"/>
        <v>0</v>
      </c>
      <c r="G9">
        <f t="shared" si="6"/>
        <v>0</v>
      </c>
      <c r="H9">
        <f t="shared" si="6"/>
        <v>0</v>
      </c>
      <c r="I9">
        <f t="shared" si="6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1</v>
      </c>
      <c r="P9">
        <f t="shared" si="5"/>
        <v>1</v>
      </c>
      <c r="Q9">
        <f t="shared" si="5"/>
        <v>0</v>
      </c>
      <c r="R9">
        <f t="shared" si="5"/>
        <v>0</v>
      </c>
      <c r="S9" s="10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f t="shared" si="5"/>
        <v>0</v>
      </c>
    </row>
    <row r="10" spans="1:25" ht="61.5" customHeight="1">
      <c r="A10" s="18" t="s">
        <v>10</v>
      </c>
      <c r="B10" s="5">
        <f>D8</f>
        <v>45427</v>
      </c>
      <c r="C10" s="6">
        <v>2</v>
      </c>
      <c r="D10" s="5">
        <f t="shared" si="4"/>
        <v>45441</v>
      </c>
      <c r="E10">
        <f t="shared" si="6"/>
        <v>0</v>
      </c>
      <c r="F10">
        <f t="shared" si="6"/>
        <v>0</v>
      </c>
      <c r="G10">
        <f t="shared" si="6"/>
        <v>0</v>
      </c>
      <c r="H10">
        <f t="shared" si="6"/>
        <v>0</v>
      </c>
      <c r="I10">
        <f t="shared" si="6"/>
        <v>0</v>
      </c>
      <c r="J10">
        <f t="shared" si="5"/>
        <v>0</v>
      </c>
      <c r="K10">
        <f t="shared" si="5"/>
        <v>0</v>
      </c>
      <c r="L10">
        <f t="shared" si="5"/>
        <v>0</v>
      </c>
      <c r="M10">
        <f t="shared" si="5"/>
        <v>0</v>
      </c>
      <c r="N10">
        <f t="shared" si="5"/>
        <v>0</v>
      </c>
      <c r="O10">
        <f t="shared" si="5"/>
        <v>1</v>
      </c>
      <c r="P10">
        <f t="shared" si="5"/>
        <v>1</v>
      </c>
      <c r="Q10">
        <f t="shared" si="5"/>
        <v>0</v>
      </c>
      <c r="R10">
        <f t="shared" si="5"/>
        <v>0</v>
      </c>
      <c r="S10" s="10">
        <f t="shared" si="5"/>
        <v>0</v>
      </c>
      <c r="T10">
        <f t="shared" si="5"/>
        <v>0</v>
      </c>
      <c r="U10">
        <f t="shared" si="5"/>
        <v>0</v>
      </c>
      <c r="V10">
        <f t="shared" si="5"/>
        <v>0</v>
      </c>
      <c r="W10">
        <f t="shared" si="5"/>
        <v>0</v>
      </c>
      <c r="X10">
        <f t="shared" si="5"/>
        <v>0</v>
      </c>
      <c r="Y10">
        <f t="shared" si="5"/>
        <v>0</v>
      </c>
    </row>
    <row r="11" spans="1:25" ht="82.5" customHeight="1" thickBot="1">
      <c r="A11" s="19" t="s">
        <v>11</v>
      </c>
      <c r="B11" s="11">
        <f>D10</f>
        <v>45441</v>
      </c>
      <c r="C11" s="12">
        <v>3</v>
      </c>
      <c r="D11" s="11">
        <f t="shared" si="4"/>
        <v>45462</v>
      </c>
      <c r="E11" s="13">
        <f t="shared" si="6"/>
        <v>0</v>
      </c>
      <c r="F11" s="13">
        <f t="shared" si="6"/>
        <v>0</v>
      </c>
      <c r="G11" s="13">
        <f t="shared" si="6"/>
        <v>0</v>
      </c>
      <c r="H11" s="13">
        <f t="shared" si="6"/>
        <v>0</v>
      </c>
      <c r="I11" s="13">
        <f t="shared" si="6"/>
        <v>0</v>
      </c>
      <c r="J11" s="13">
        <f t="shared" si="5"/>
        <v>0</v>
      </c>
      <c r="K11" s="13">
        <f t="shared" si="5"/>
        <v>0</v>
      </c>
      <c r="L11" s="13">
        <f t="shared" si="5"/>
        <v>0</v>
      </c>
      <c r="M11" s="13">
        <f t="shared" si="5"/>
        <v>0</v>
      </c>
      <c r="N11" s="13">
        <f t="shared" si="5"/>
        <v>0</v>
      </c>
      <c r="O11" s="13">
        <f t="shared" si="5"/>
        <v>0</v>
      </c>
      <c r="P11" s="13">
        <f t="shared" si="5"/>
        <v>0</v>
      </c>
      <c r="Q11" s="13">
        <f t="shared" si="5"/>
        <v>1</v>
      </c>
      <c r="R11" s="13">
        <f t="shared" si="5"/>
        <v>1</v>
      </c>
      <c r="S11" s="14">
        <f t="shared" si="5"/>
        <v>1</v>
      </c>
      <c r="T11">
        <f t="shared" si="5"/>
        <v>0</v>
      </c>
      <c r="U11">
        <f t="shared" si="5"/>
        <v>0</v>
      </c>
      <c r="V11">
        <f t="shared" si="5"/>
        <v>0</v>
      </c>
      <c r="W11">
        <f t="shared" si="5"/>
        <v>0</v>
      </c>
      <c r="X11">
        <f t="shared" si="5"/>
        <v>0</v>
      </c>
      <c r="Y11">
        <f t="shared" si="5"/>
        <v>0</v>
      </c>
    </row>
    <row r="12" spans="1:25">
      <c r="B12" s="1"/>
      <c r="D12" s="1"/>
    </row>
  </sheetData>
  <conditionalFormatting sqref="E4:S4">
    <cfRule type="cellIs" dxfId="9" priority="1" operator="equal">
      <formula>0</formula>
    </cfRule>
    <cfRule type="cellIs" dxfId="8" priority="2" operator="equal">
      <formula>1</formula>
    </cfRule>
  </conditionalFormatting>
  <conditionalFormatting sqref="E5:Y11">
    <cfRule type="cellIs" dxfId="7" priority="5" operator="equal">
      <formula>0</formula>
    </cfRule>
    <cfRule type="cellIs" dxfId="6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5EAA-DB62-D94C-B81C-80772983355C}">
  <dimension ref="A2:Y12"/>
  <sheetViews>
    <sheetView zoomScale="84" zoomScaleNormal="80" workbookViewId="0">
      <selection sqref="A1:XFD1048576"/>
    </sheetView>
  </sheetViews>
  <sheetFormatPr defaultColWidth="11" defaultRowHeight="15.75"/>
  <cols>
    <col min="1" max="1" width="82.375" bestFit="1" customWidth="1"/>
    <col min="2" max="2" width="14.125" customWidth="1"/>
    <col min="3" max="3" width="16.5" style="4" customWidth="1"/>
    <col min="4" max="4" width="12.375" customWidth="1"/>
    <col min="5" max="8" width="11.125" hidden="1" customWidth="1"/>
    <col min="9" max="9" width="9.875" hidden="1" customWidth="1"/>
    <col min="10" max="10" width="10.625" customWidth="1"/>
    <col min="11" max="11" width="11.625" customWidth="1"/>
    <col min="12" max="12" width="11.125" bestFit="1" customWidth="1"/>
    <col min="13" max="13" width="9.875" bestFit="1" customWidth="1"/>
    <col min="14" max="16" width="11.125" bestFit="1" customWidth="1"/>
    <col min="17" max="18" width="9.875" bestFit="1" customWidth="1"/>
    <col min="19" max="21" width="11.125" bestFit="1" customWidth="1"/>
    <col min="22" max="22" width="9.875" bestFit="1" customWidth="1"/>
  </cols>
  <sheetData>
    <row r="2" spans="1:25" ht="16.5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5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15">
        <f t="shared" si="0"/>
        <v>45438</v>
      </c>
      <c r="Q3" s="15">
        <f t="shared" si="0"/>
        <v>45445</v>
      </c>
      <c r="R3" s="15">
        <f t="shared" si="0"/>
        <v>45452</v>
      </c>
      <c r="S3" s="15">
        <f t="shared" si="0"/>
        <v>45459</v>
      </c>
      <c r="T3" s="15">
        <f t="shared" si="0"/>
        <v>45466</v>
      </c>
      <c r="U3" s="15">
        <f t="shared" si="0"/>
        <v>45473</v>
      </c>
      <c r="V3" s="16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>
      <c r="A4" s="20" t="s">
        <v>4</v>
      </c>
      <c r="B4" s="21">
        <v>45357</v>
      </c>
      <c r="C4" s="22">
        <v>5</v>
      </c>
      <c r="D4" s="21">
        <f t="shared" ref="D4:D11" si="1">B4+C4*7</f>
        <v>45392</v>
      </c>
      <c r="E4" s="28">
        <f>IF(AND($B4&lt;=E$3,E$3&lt;$D4),1,0)</f>
        <v>1</v>
      </c>
      <c r="F4" s="28">
        <f t="shared" ref="F4:Y11" si="2">IF(AND($B4&lt;=F$3,F$3&lt;$D4),1,0)</f>
        <v>1</v>
      </c>
      <c r="G4" s="28">
        <f t="shared" si="2"/>
        <v>1</v>
      </c>
      <c r="H4" s="28">
        <f t="shared" si="2"/>
        <v>1</v>
      </c>
      <c r="I4" s="28">
        <f t="shared" si="2"/>
        <v>1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  <c r="U4" s="29"/>
      <c r="V4" s="32"/>
      <c r="W4" s="1"/>
      <c r="X4" s="1"/>
      <c r="Y4" s="1"/>
    </row>
    <row r="5" spans="1:25" ht="50.1" hidden="1" customHeight="1">
      <c r="A5" s="20" t="s">
        <v>5</v>
      </c>
      <c r="B5" s="21">
        <v>45357</v>
      </c>
      <c r="C5" s="23">
        <v>5</v>
      </c>
      <c r="D5" s="21">
        <f t="shared" si="1"/>
        <v>45392</v>
      </c>
      <c r="E5" s="28">
        <f>IF(AND($B5&lt;=E$3,E$3&lt;$D5),1,0)</f>
        <v>1</v>
      </c>
      <c r="F5" s="28">
        <f t="shared" si="2"/>
        <v>1</v>
      </c>
      <c r="G5" s="28">
        <f t="shared" si="2"/>
        <v>1</v>
      </c>
      <c r="H5" s="28">
        <f t="shared" si="2"/>
        <v>1</v>
      </c>
      <c r="I5" s="28">
        <f t="shared" si="2"/>
        <v>1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>
        <f t="shared" si="2"/>
        <v>0</v>
      </c>
      <c r="N5" s="28">
        <f t="shared" si="2"/>
        <v>0</v>
      </c>
      <c r="O5" s="28">
        <f t="shared" si="2"/>
        <v>0</v>
      </c>
      <c r="P5" s="28">
        <f t="shared" si="2"/>
        <v>0</v>
      </c>
      <c r="Q5" s="28">
        <f t="shared" si="2"/>
        <v>0</v>
      </c>
      <c r="R5" s="28">
        <f t="shared" si="2"/>
        <v>0</v>
      </c>
      <c r="S5" s="28">
        <f t="shared" si="2"/>
        <v>0</v>
      </c>
      <c r="T5" s="28">
        <f t="shared" si="2"/>
        <v>0</v>
      </c>
      <c r="U5" s="28">
        <f t="shared" si="2"/>
        <v>0</v>
      </c>
      <c r="V5" s="33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</row>
    <row r="6" spans="1:25" ht="50.1" hidden="1" customHeight="1">
      <c r="A6" s="20" t="s">
        <v>6</v>
      </c>
      <c r="B6" s="21">
        <v>45357</v>
      </c>
      <c r="C6" s="22">
        <v>5</v>
      </c>
      <c r="D6" s="21">
        <f t="shared" si="1"/>
        <v>45392</v>
      </c>
      <c r="E6" s="28">
        <f t="shared" ref="E6:P11" si="3">IF(AND($B6&lt;=E$3,E$3&lt;$D6),1,0)</f>
        <v>1</v>
      </c>
      <c r="F6" s="28">
        <f t="shared" si="3"/>
        <v>1</v>
      </c>
      <c r="G6" s="28">
        <f t="shared" si="3"/>
        <v>1</v>
      </c>
      <c r="H6" s="28">
        <f t="shared" si="3"/>
        <v>1</v>
      </c>
      <c r="I6" s="28">
        <f t="shared" si="3"/>
        <v>1</v>
      </c>
      <c r="J6" s="31">
        <f t="shared" si="3"/>
        <v>0</v>
      </c>
      <c r="K6" s="31">
        <f t="shared" si="3"/>
        <v>0</v>
      </c>
      <c r="L6" s="31">
        <f t="shared" si="3"/>
        <v>0</v>
      </c>
      <c r="M6" s="31">
        <f t="shared" si="3"/>
        <v>0</v>
      </c>
      <c r="N6" s="31">
        <f t="shared" si="3"/>
        <v>0</v>
      </c>
      <c r="O6" s="31">
        <f t="shared" si="3"/>
        <v>0</v>
      </c>
      <c r="P6" s="31">
        <f t="shared" si="3"/>
        <v>0</v>
      </c>
      <c r="Q6" s="31">
        <f t="shared" si="2"/>
        <v>0</v>
      </c>
      <c r="R6" s="31">
        <f t="shared" si="2"/>
        <v>0</v>
      </c>
      <c r="S6" s="31">
        <f t="shared" si="2"/>
        <v>0</v>
      </c>
      <c r="T6" s="31">
        <f t="shared" si="2"/>
        <v>0</v>
      </c>
      <c r="U6" s="31">
        <f t="shared" si="2"/>
        <v>0</v>
      </c>
      <c r="V6" s="34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</row>
    <row r="7" spans="1:25" ht="46.5">
      <c r="A7" s="24" t="s">
        <v>7</v>
      </c>
      <c r="B7" s="25">
        <f>D6</f>
        <v>45392</v>
      </c>
      <c r="C7" s="26">
        <v>7</v>
      </c>
      <c r="D7" s="25">
        <f t="shared" si="1"/>
        <v>45441</v>
      </c>
      <c r="E7" s="28">
        <f t="shared" si="3"/>
        <v>0</v>
      </c>
      <c r="F7" s="28">
        <f t="shared" si="3"/>
        <v>0</v>
      </c>
      <c r="G7" s="28">
        <f t="shared" si="3"/>
        <v>0</v>
      </c>
      <c r="H7" s="28">
        <f t="shared" si="3"/>
        <v>0</v>
      </c>
      <c r="I7" s="30">
        <f t="shared" si="3"/>
        <v>0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 s="10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</row>
    <row r="8" spans="1:25" ht="46.5">
      <c r="A8" s="24" t="s">
        <v>8</v>
      </c>
      <c r="B8" s="25">
        <f>D6</f>
        <v>45392</v>
      </c>
      <c r="C8" s="26">
        <v>7</v>
      </c>
      <c r="D8" s="25">
        <f t="shared" si="1"/>
        <v>45441</v>
      </c>
      <c r="E8" s="28">
        <f t="shared" si="3"/>
        <v>0</v>
      </c>
      <c r="F8" s="28">
        <f t="shared" si="3"/>
        <v>0</v>
      </c>
      <c r="G8" s="28">
        <f t="shared" si="3"/>
        <v>0</v>
      </c>
      <c r="H8" s="28">
        <f t="shared" si="3"/>
        <v>0</v>
      </c>
      <c r="I8" s="30">
        <f t="shared" si="3"/>
        <v>0</v>
      </c>
      <c r="J8">
        <f t="shared" si="2"/>
        <v>1</v>
      </c>
      <c r="K8">
        <f t="shared" si="2"/>
        <v>1</v>
      </c>
      <c r="L8">
        <f t="shared" si="2"/>
        <v>1</v>
      </c>
      <c r="M8">
        <f t="shared" si="2"/>
        <v>1</v>
      </c>
      <c r="N8">
        <f t="shared" si="2"/>
        <v>1</v>
      </c>
      <c r="O8">
        <f t="shared" si="2"/>
        <v>1</v>
      </c>
      <c r="P8">
        <f t="shared" si="2"/>
        <v>1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 s="10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</row>
    <row r="9" spans="1:25" ht="54.75" customHeight="1">
      <c r="A9" s="18" t="s">
        <v>9</v>
      </c>
      <c r="B9" s="5">
        <f>D8</f>
        <v>45441</v>
      </c>
      <c r="C9" s="6">
        <v>3</v>
      </c>
      <c r="D9" s="5">
        <f t="shared" si="1"/>
        <v>45462</v>
      </c>
      <c r="E9" s="28">
        <f t="shared" si="3"/>
        <v>0</v>
      </c>
      <c r="F9" s="28">
        <f t="shared" si="3"/>
        <v>0</v>
      </c>
      <c r="G9" s="28">
        <f t="shared" si="3"/>
        <v>0</v>
      </c>
      <c r="H9" s="28">
        <f t="shared" si="3"/>
        <v>0</v>
      </c>
      <c r="I9" s="30">
        <f t="shared" si="3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1</v>
      </c>
      <c r="R9">
        <f t="shared" si="2"/>
        <v>1</v>
      </c>
      <c r="S9">
        <f t="shared" si="2"/>
        <v>1</v>
      </c>
      <c r="T9">
        <f t="shared" si="2"/>
        <v>0</v>
      </c>
      <c r="U9">
        <f t="shared" si="2"/>
        <v>0</v>
      </c>
      <c r="V9" s="10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</row>
    <row r="10" spans="1:25" ht="61.5" customHeight="1">
      <c r="A10" s="18" t="s">
        <v>10</v>
      </c>
      <c r="B10" s="5">
        <f>D8</f>
        <v>45441</v>
      </c>
      <c r="C10" s="6">
        <v>3</v>
      </c>
      <c r="D10" s="5">
        <f t="shared" si="1"/>
        <v>45462</v>
      </c>
      <c r="E10" s="28">
        <f t="shared" si="3"/>
        <v>0</v>
      </c>
      <c r="F10" s="28">
        <f t="shared" si="3"/>
        <v>0</v>
      </c>
      <c r="G10" s="28">
        <f t="shared" si="3"/>
        <v>0</v>
      </c>
      <c r="H10" s="28">
        <f t="shared" si="3"/>
        <v>0</v>
      </c>
      <c r="I10" s="30">
        <f t="shared" si="3"/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1</v>
      </c>
      <c r="R10">
        <f t="shared" si="2"/>
        <v>1</v>
      </c>
      <c r="S10">
        <f t="shared" si="2"/>
        <v>1</v>
      </c>
      <c r="T10">
        <f t="shared" si="2"/>
        <v>0</v>
      </c>
      <c r="U10">
        <f t="shared" si="2"/>
        <v>0</v>
      </c>
      <c r="V10" s="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</row>
    <row r="11" spans="1:25" ht="82.5" customHeight="1" thickBot="1">
      <c r="A11" s="19" t="s">
        <v>11</v>
      </c>
      <c r="B11" s="11">
        <f>D10</f>
        <v>45462</v>
      </c>
      <c r="C11" s="12">
        <v>2</v>
      </c>
      <c r="D11" s="11">
        <f t="shared" si="1"/>
        <v>45476</v>
      </c>
      <c r="E11" s="35">
        <f t="shared" si="3"/>
        <v>0</v>
      </c>
      <c r="F11" s="35">
        <f t="shared" si="3"/>
        <v>0</v>
      </c>
      <c r="G11" s="35">
        <f t="shared" si="3"/>
        <v>0</v>
      </c>
      <c r="H11" s="35">
        <f t="shared" si="3"/>
        <v>0</v>
      </c>
      <c r="I11" s="36">
        <f t="shared" si="3"/>
        <v>0</v>
      </c>
      <c r="J11" s="13">
        <f t="shared" si="2"/>
        <v>0</v>
      </c>
      <c r="K11" s="13">
        <f t="shared" si="2"/>
        <v>0</v>
      </c>
      <c r="L11" s="13">
        <f t="shared" si="2"/>
        <v>0</v>
      </c>
      <c r="M11" s="13">
        <f t="shared" si="2"/>
        <v>0</v>
      </c>
      <c r="N11" s="13">
        <f t="shared" si="2"/>
        <v>0</v>
      </c>
      <c r="O11" s="13">
        <f t="shared" si="2"/>
        <v>0</v>
      </c>
      <c r="P11" s="13">
        <f t="shared" si="2"/>
        <v>0</v>
      </c>
      <c r="Q11" s="13">
        <f t="shared" si="2"/>
        <v>0</v>
      </c>
      <c r="R11" s="13">
        <f t="shared" si="2"/>
        <v>0</v>
      </c>
      <c r="S11" s="13">
        <f t="shared" si="2"/>
        <v>0</v>
      </c>
      <c r="T11" s="13">
        <f t="shared" si="2"/>
        <v>1</v>
      </c>
      <c r="U11" s="13">
        <f t="shared" si="2"/>
        <v>1</v>
      </c>
      <c r="V11" s="14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</row>
    <row r="12" spans="1:25">
      <c r="B12" s="1"/>
      <c r="D12" s="1"/>
    </row>
  </sheetData>
  <conditionalFormatting sqref="E4:S4">
    <cfRule type="cellIs" dxfId="5" priority="1" operator="equal">
      <formula>0</formula>
    </cfRule>
    <cfRule type="cellIs" dxfId="4" priority="2" operator="equal">
      <formula>1</formula>
    </cfRule>
  </conditionalFormatting>
  <conditionalFormatting sqref="E5:Y11">
    <cfRule type="cellIs" dxfId="3" priority="3" operator="equal">
      <formula>0</formula>
    </cfRule>
    <cfRule type="cellIs" dxfId="2" priority="4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9E17-0E96-D744-8122-0E4CAB06746A}">
  <dimension ref="A2:Y13"/>
  <sheetViews>
    <sheetView tabSelected="1" zoomScale="67" zoomScaleNormal="66" workbookViewId="0">
      <selection sqref="A1:O1048576"/>
    </sheetView>
  </sheetViews>
  <sheetFormatPr defaultColWidth="11" defaultRowHeight="15.75"/>
  <cols>
    <col min="1" max="1" width="69" customWidth="1"/>
    <col min="2" max="2" width="16.625" customWidth="1"/>
    <col min="3" max="3" width="14" style="4" bestFit="1" customWidth="1"/>
    <col min="4" max="4" width="17" bestFit="1" customWidth="1"/>
    <col min="5" max="8" width="11.125" customWidth="1"/>
    <col min="9" max="9" width="9.875" customWidth="1"/>
    <col min="10" max="13" width="14.375" customWidth="1"/>
    <col min="14" max="22" width="14.375" bestFit="1" customWidth="1"/>
    <col min="23" max="23" width="14.875" customWidth="1"/>
    <col min="24" max="24" width="13.625" customWidth="1"/>
    <col min="25" max="25" width="13.875" customWidth="1"/>
  </cols>
  <sheetData>
    <row r="2" spans="1:25" ht="16.5" thickBot="1"/>
    <row r="3" spans="1:25" s="2" customFormat="1" ht="48.95" customHeight="1">
      <c r="A3" s="7" t="s">
        <v>0</v>
      </c>
      <c r="B3" s="8" t="s">
        <v>1</v>
      </c>
      <c r="C3" s="9" t="s">
        <v>2</v>
      </c>
      <c r="D3" s="9" t="s">
        <v>3</v>
      </c>
      <c r="E3" s="15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15">
        <f t="shared" si="0"/>
        <v>45438</v>
      </c>
      <c r="Q3" s="15">
        <f t="shared" si="0"/>
        <v>45445</v>
      </c>
      <c r="R3" s="15">
        <f t="shared" si="0"/>
        <v>45452</v>
      </c>
      <c r="S3" s="15">
        <f t="shared" si="0"/>
        <v>45459</v>
      </c>
      <c r="T3" s="15">
        <f t="shared" si="0"/>
        <v>45466</v>
      </c>
      <c r="U3" s="15">
        <f t="shared" si="0"/>
        <v>45473</v>
      </c>
      <c r="V3" s="15">
        <f t="shared" si="0"/>
        <v>45480</v>
      </c>
      <c r="W3" s="15">
        <f t="shared" si="0"/>
        <v>45487</v>
      </c>
      <c r="X3" s="15">
        <f t="shared" si="0"/>
        <v>45494</v>
      </c>
      <c r="Y3" s="16">
        <f t="shared" si="0"/>
        <v>45501</v>
      </c>
    </row>
    <row r="4" spans="1:25" ht="50.1" hidden="1" customHeight="1">
      <c r="A4" s="20" t="s">
        <v>4</v>
      </c>
      <c r="B4" s="21">
        <v>45357</v>
      </c>
      <c r="C4" s="22">
        <v>5</v>
      </c>
      <c r="D4" s="21">
        <f t="shared" ref="D4:D12" si="1">B4+C4*7</f>
        <v>45392</v>
      </c>
      <c r="E4" s="28">
        <f>IF(AND($B4&lt;=E$3,E$3&lt;$D4),1,0)</f>
        <v>1</v>
      </c>
      <c r="F4" s="28">
        <f t="shared" ref="F4:Y12" si="2">IF(AND($B4&lt;=F$3,F$3&lt;$D4),1,0)</f>
        <v>1</v>
      </c>
      <c r="G4" s="28">
        <f t="shared" si="2"/>
        <v>1</v>
      </c>
      <c r="H4" s="28">
        <f t="shared" si="2"/>
        <v>1</v>
      </c>
      <c r="I4" s="28">
        <f t="shared" si="2"/>
        <v>1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  <c r="U4" s="29"/>
      <c r="V4" s="42"/>
      <c r="W4" s="1"/>
      <c r="X4" s="1"/>
      <c r="Y4" s="40"/>
    </row>
    <row r="5" spans="1:25" ht="50.1" hidden="1" customHeight="1">
      <c r="A5" s="20" t="s">
        <v>5</v>
      </c>
      <c r="B5" s="21">
        <v>45357</v>
      </c>
      <c r="C5" s="23">
        <v>5</v>
      </c>
      <c r="D5" s="21">
        <f t="shared" si="1"/>
        <v>45392</v>
      </c>
      <c r="E5" s="28">
        <f>IF(AND($B5&lt;=E$3,E$3&lt;$D5),1,0)</f>
        <v>1</v>
      </c>
      <c r="F5" s="28">
        <f t="shared" si="2"/>
        <v>1</v>
      </c>
      <c r="G5" s="28">
        <f t="shared" si="2"/>
        <v>1</v>
      </c>
      <c r="H5" s="28">
        <f t="shared" si="2"/>
        <v>1</v>
      </c>
      <c r="I5" s="28">
        <f t="shared" si="2"/>
        <v>1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>
        <f t="shared" si="2"/>
        <v>0</v>
      </c>
      <c r="N5" s="28">
        <f t="shared" si="2"/>
        <v>0</v>
      </c>
      <c r="O5" s="28">
        <f t="shared" si="2"/>
        <v>0</v>
      </c>
      <c r="P5" s="28">
        <f t="shared" si="2"/>
        <v>0</v>
      </c>
      <c r="Q5" s="28">
        <f t="shared" si="2"/>
        <v>0</v>
      </c>
      <c r="R5" s="28">
        <f t="shared" si="2"/>
        <v>0</v>
      </c>
      <c r="S5" s="28">
        <f t="shared" si="2"/>
        <v>0</v>
      </c>
      <c r="T5" s="28">
        <f t="shared" si="2"/>
        <v>0</v>
      </c>
      <c r="U5" s="28">
        <f t="shared" si="2"/>
        <v>0</v>
      </c>
      <c r="V5" s="30">
        <f t="shared" si="2"/>
        <v>0</v>
      </c>
      <c r="W5">
        <f t="shared" si="2"/>
        <v>0</v>
      </c>
      <c r="X5">
        <f t="shared" si="2"/>
        <v>0</v>
      </c>
      <c r="Y5" s="10">
        <f t="shared" si="2"/>
        <v>0</v>
      </c>
    </row>
    <row r="6" spans="1:25" ht="50.1" hidden="1" customHeight="1">
      <c r="A6" s="20" t="s">
        <v>6</v>
      </c>
      <c r="B6" s="21">
        <v>45357</v>
      </c>
      <c r="C6" s="22">
        <v>5</v>
      </c>
      <c r="D6" s="21">
        <f t="shared" si="1"/>
        <v>45392</v>
      </c>
      <c r="E6" s="28">
        <f t="shared" ref="E6:P11" si="3">IF(AND($B6&lt;=E$3,E$3&lt;$D6),1,0)</f>
        <v>1</v>
      </c>
      <c r="F6" s="28">
        <f t="shared" si="3"/>
        <v>1</v>
      </c>
      <c r="G6" s="28">
        <f t="shared" si="3"/>
        <v>1</v>
      </c>
      <c r="H6" s="28">
        <f t="shared" si="3"/>
        <v>1</v>
      </c>
      <c r="I6" s="28">
        <f t="shared" si="3"/>
        <v>1</v>
      </c>
      <c r="J6" s="31">
        <f t="shared" si="3"/>
        <v>0</v>
      </c>
      <c r="K6" s="31">
        <f t="shared" si="3"/>
        <v>0</v>
      </c>
      <c r="L6" s="31">
        <f t="shared" si="3"/>
        <v>0</v>
      </c>
      <c r="M6" s="31">
        <f t="shared" si="3"/>
        <v>0</v>
      </c>
      <c r="N6" s="31">
        <f t="shared" si="3"/>
        <v>0</v>
      </c>
      <c r="O6" s="31">
        <f t="shared" si="3"/>
        <v>0</v>
      </c>
      <c r="P6" s="31">
        <f t="shared" si="3"/>
        <v>0</v>
      </c>
      <c r="Q6" s="31">
        <f t="shared" si="2"/>
        <v>0</v>
      </c>
      <c r="R6" s="31">
        <f t="shared" si="2"/>
        <v>0</v>
      </c>
      <c r="S6" s="31">
        <f t="shared" si="2"/>
        <v>0</v>
      </c>
      <c r="T6" s="31">
        <f t="shared" si="2"/>
        <v>0</v>
      </c>
      <c r="U6" s="31">
        <f t="shared" si="2"/>
        <v>0</v>
      </c>
      <c r="V6" s="38">
        <f t="shared" si="2"/>
        <v>0</v>
      </c>
      <c r="W6">
        <f t="shared" si="2"/>
        <v>0</v>
      </c>
      <c r="X6">
        <f t="shared" si="2"/>
        <v>0</v>
      </c>
      <c r="Y6" s="10">
        <f t="shared" si="2"/>
        <v>0</v>
      </c>
    </row>
    <row r="7" spans="1:25" ht="77.099999999999994" customHeight="1">
      <c r="A7" s="24" t="s">
        <v>8</v>
      </c>
      <c r="B7" s="25">
        <f>D6</f>
        <v>45392</v>
      </c>
      <c r="C7" s="26">
        <v>7</v>
      </c>
      <c r="D7" s="25">
        <f>B7+C7*7</f>
        <v>45441</v>
      </c>
      <c r="E7" s="28">
        <f t="shared" ref="E7:Y7" si="4">IF(AND($B7&lt;=E$3,E$3&lt;$D7),1,0)</f>
        <v>0</v>
      </c>
      <c r="F7" s="28">
        <f t="shared" si="4"/>
        <v>0</v>
      </c>
      <c r="G7" s="28">
        <f t="shared" si="4"/>
        <v>0</v>
      </c>
      <c r="H7" s="28">
        <f t="shared" si="4"/>
        <v>0</v>
      </c>
      <c r="I7" s="30">
        <f t="shared" si="4"/>
        <v>0</v>
      </c>
      <c r="J7">
        <f t="shared" si="4"/>
        <v>1</v>
      </c>
      <c r="K7">
        <f t="shared" si="4"/>
        <v>1</v>
      </c>
      <c r="L7">
        <f t="shared" si="4"/>
        <v>1</v>
      </c>
      <c r="M7">
        <f t="shared" si="4"/>
        <v>1</v>
      </c>
      <c r="N7">
        <f t="shared" si="4"/>
        <v>1</v>
      </c>
      <c r="O7">
        <f t="shared" si="4"/>
        <v>1</v>
      </c>
      <c r="P7">
        <f t="shared" si="4"/>
        <v>1</v>
      </c>
      <c r="Q7">
        <f t="shared" si="4"/>
        <v>0</v>
      </c>
      <c r="R7">
        <f t="shared" si="4"/>
        <v>0</v>
      </c>
      <c r="S7">
        <f t="shared" si="4"/>
        <v>0</v>
      </c>
      <c r="T7">
        <f t="shared" si="4"/>
        <v>0</v>
      </c>
      <c r="U7">
        <f t="shared" si="4"/>
        <v>0</v>
      </c>
      <c r="V7">
        <f t="shared" si="4"/>
        <v>0</v>
      </c>
      <c r="W7">
        <f t="shared" si="4"/>
        <v>0</v>
      </c>
      <c r="X7">
        <f t="shared" si="4"/>
        <v>0</v>
      </c>
      <c r="Y7" s="10">
        <f t="shared" si="4"/>
        <v>0</v>
      </c>
    </row>
    <row r="8" spans="1:25" ht="69" customHeight="1">
      <c r="A8" s="45" t="s">
        <v>7</v>
      </c>
      <c r="B8" s="46">
        <f>D6</f>
        <v>45392</v>
      </c>
      <c r="C8" s="47">
        <v>9</v>
      </c>
      <c r="D8" s="46">
        <f t="shared" si="1"/>
        <v>45455</v>
      </c>
      <c r="E8" s="28">
        <f t="shared" si="3"/>
        <v>0</v>
      </c>
      <c r="F8" s="28">
        <f t="shared" si="3"/>
        <v>0</v>
      </c>
      <c r="G8" s="28">
        <f t="shared" si="3"/>
        <v>0</v>
      </c>
      <c r="H8" s="28">
        <f t="shared" si="3"/>
        <v>0</v>
      </c>
      <c r="I8" s="30">
        <f t="shared" si="3"/>
        <v>0</v>
      </c>
      <c r="J8">
        <f t="shared" si="2"/>
        <v>1</v>
      </c>
      <c r="K8">
        <f t="shared" si="2"/>
        <v>1</v>
      </c>
      <c r="L8">
        <f t="shared" si="2"/>
        <v>1</v>
      </c>
      <c r="M8">
        <f t="shared" si="2"/>
        <v>1</v>
      </c>
      <c r="N8">
        <f t="shared" si="2"/>
        <v>1</v>
      </c>
      <c r="O8">
        <f t="shared" si="2"/>
        <v>1</v>
      </c>
      <c r="P8">
        <f t="shared" si="2"/>
        <v>1</v>
      </c>
      <c r="Q8">
        <f t="shared" si="2"/>
        <v>1</v>
      </c>
      <c r="R8">
        <f t="shared" si="2"/>
        <v>1</v>
      </c>
      <c r="S8">
        <f t="shared" si="2"/>
        <v>0</v>
      </c>
      <c r="T8">
        <f t="shared" si="2"/>
        <v>0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 s="10">
        <f t="shared" si="2"/>
        <v>0</v>
      </c>
    </row>
    <row r="9" spans="1:25" ht="54.75" customHeight="1">
      <c r="A9" s="20" t="s">
        <v>12</v>
      </c>
      <c r="B9" s="21">
        <f>D7</f>
        <v>45441</v>
      </c>
      <c r="C9" s="22">
        <v>6</v>
      </c>
      <c r="D9" s="21">
        <f t="shared" si="1"/>
        <v>45483</v>
      </c>
      <c r="E9" s="28">
        <f t="shared" si="3"/>
        <v>0</v>
      </c>
      <c r="F9" s="28">
        <f t="shared" si="3"/>
        <v>0</v>
      </c>
      <c r="G9" s="28">
        <f t="shared" si="3"/>
        <v>0</v>
      </c>
      <c r="H9" s="28">
        <f t="shared" si="3"/>
        <v>0</v>
      </c>
      <c r="I9" s="30">
        <f t="shared" si="3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1</v>
      </c>
      <c r="R9">
        <f t="shared" si="2"/>
        <v>1</v>
      </c>
      <c r="S9">
        <f t="shared" si="2"/>
        <v>1</v>
      </c>
      <c r="T9">
        <f t="shared" si="2"/>
        <v>1</v>
      </c>
      <c r="U9">
        <f t="shared" si="2"/>
        <v>1</v>
      </c>
      <c r="V9">
        <f t="shared" si="2"/>
        <v>1</v>
      </c>
      <c r="W9">
        <f t="shared" si="2"/>
        <v>0</v>
      </c>
      <c r="X9">
        <f t="shared" si="2"/>
        <v>0</v>
      </c>
      <c r="Y9" s="10">
        <f t="shared" si="2"/>
        <v>0</v>
      </c>
    </row>
    <row r="10" spans="1:25" ht="61.5" customHeight="1">
      <c r="A10" s="18" t="s">
        <v>10</v>
      </c>
      <c r="B10" s="5">
        <v>45476</v>
      </c>
      <c r="C10" s="6">
        <v>2</v>
      </c>
      <c r="D10" s="5">
        <f t="shared" si="1"/>
        <v>45490</v>
      </c>
      <c r="E10" s="39">
        <f t="shared" si="3"/>
        <v>0</v>
      </c>
      <c r="F10" s="31">
        <f t="shared" si="3"/>
        <v>0</v>
      </c>
      <c r="G10" s="31">
        <f t="shared" si="3"/>
        <v>0</v>
      </c>
      <c r="H10" s="31">
        <f t="shared" si="3"/>
        <v>0</v>
      </c>
      <c r="I10" s="38">
        <f t="shared" si="3"/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1</v>
      </c>
      <c r="W10">
        <f t="shared" si="2"/>
        <v>1</v>
      </c>
      <c r="X10">
        <f t="shared" si="2"/>
        <v>0</v>
      </c>
      <c r="Y10" s="48">
        <f t="shared" si="2"/>
        <v>0</v>
      </c>
    </row>
    <row r="11" spans="1:25" ht="82.5" hidden="1" customHeight="1">
      <c r="A11" s="41" t="s">
        <v>11</v>
      </c>
      <c r="B11" s="43">
        <f>D10</f>
        <v>45490</v>
      </c>
      <c r="C11" s="44">
        <v>2</v>
      </c>
      <c r="D11" s="5">
        <f t="shared" si="1"/>
        <v>45504</v>
      </c>
      <c r="E11">
        <f t="shared" si="3"/>
        <v>0</v>
      </c>
      <c r="F11">
        <f t="shared" si="3"/>
        <v>0</v>
      </c>
      <c r="G11">
        <f t="shared" si="3"/>
        <v>0</v>
      </c>
      <c r="H11">
        <f t="shared" si="3"/>
        <v>0</v>
      </c>
      <c r="I11">
        <f t="shared" si="3"/>
        <v>0</v>
      </c>
      <c r="J11">
        <f t="shared" si="2"/>
        <v>0</v>
      </c>
      <c r="K11">
        <f t="shared" si="2"/>
        <v>0</v>
      </c>
      <c r="L11">
        <f t="shared" si="2"/>
        <v>0</v>
      </c>
      <c r="M11">
        <f t="shared" si="2"/>
        <v>0</v>
      </c>
      <c r="N11">
        <f t="shared" si="2"/>
        <v>0</v>
      </c>
      <c r="O11">
        <f t="shared" si="2"/>
        <v>0</v>
      </c>
      <c r="P11">
        <f t="shared" si="2"/>
        <v>0</v>
      </c>
      <c r="Q11">
        <f t="shared" si="2"/>
        <v>0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1</v>
      </c>
      <c r="Y11" s="48">
        <f t="shared" si="2"/>
        <v>1</v>
      </c>
    </row>
    <row r="12" spans="1:25" ht="24" thickBot="1">
      <c r="A12" s="19" t="s">
        <v>13</v>
      </c>
      <c r="B12" s="11">
        <v>45476</v>
      </c>
      <c r="C12" s="12">
        <v>3</v>
      </c>
      <c r="D12" s="11">
        <f t="shared" si="1"/>
        <v>45497</v>
      </c>
      <c r="E12" s="13"/>
      <c r="F12" s="13"/>
      <c r="G12" s="13"/>
      <c r="H12" s="13"/>
      <c r="I12" s="13"/>
      <c r="J12" s="13">
        <f t="shared" si="2"/>
        <v>0</v>
      </c>
      <c r="K12" s="13">
        <f t="shared" si="2"/>
        <v>0</v>
      </c>
      <c r="L12" s="13">
        <f t="shared" si="2"/>
        <v>0</v>
      </c>
      <c r="M12" s="13">
        <f t="shared" si="2"/>
        <v>0</v>
      </c>
      <c r="N12" s="13">
        <f t="shared" si="2"/>
        <v>0</v>
      </c>
      <c r="O12" s="13">
        <f t="shared" si="2"/>
        <v>0</v>
      </c>
      <c r="P12" s="13">
        <f t="shared" si="2"/>
        <v>0</v>
      </c>
      <c r="Q12" s="13">
        <f t="shared" si="2"/>
        <v>0</v>
      </c>
      <c r="R12" s="13">
        <f t="shared" si="2"/>
        <v>0</v>
      </c>
      <c r="S12" s="13">
        <f t="shared" si="2"/>
        <v>0</v>
      </c>
      <c r="T12" s="13">
        <f t="shared" si="2"/>
        <v>0</v>
      </c>
      <c r="U12" s="13">
        <f t="shared" si="2"/>
        <v>0</v>
      </c>
      <c r="V12" s="13">
        <f t="shared" si="2"/>
        <v>1</v>
      </c>
      <c r="W12" s="13">
        <f t="shared" si="2"/>
        <v>1</v>
      </c>
      <c r="X12" s="13">
        <f t="shared" si="2"/>
        <v>1</v>
      </c>
      <c r="Y12" s="49">
        <f t="shared" si="2"/>
        <v>0</v>
      </c>
    </row>
    <row r="13" spans="1:25" ht="23.25">
      <c r="A13" s="37"/>
    </row>
  </sheetData>
  <conditionalFormatting sqref="E4:S4 E5:Y11 J12:Y12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459365-4b1c-41cf-a2f5-a7ae931223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883533AE32F64C9675E7DA9354FA04" ma:contentTypeVersion="16" ma:contentTypeDescription="Crear nuevo documento." ma:contentTypeScope="" ma:versionID="414d22cdd6e8a79c819460a078b51495">
  <xsd:schema xmlns:xsd="http://www.w3.org/2001/XMLSchema" xmlns:xs="http://www.w3.org/2001/XMLSchema" xmlns:p="http://schemas.microsoft.com/office/2006/metadata/properties" xmlns:ns3="5702931a-f435-46f5-bcc6-13be265680db" xmlns:ns4="7d459365-4b1c-41cf-a2f5-a7ae931223f6" targetNamespace="http://schemas.microsoft.com/office/2006/metadata/properties" ma:root="true" ma:fieldsID="4b8d5eb72dab0e66e37ef0d1ac5ead65" ns3:_="" ns4:_="">
    <xsd:import namespace="5702931a-f435-46f5-bcc6-13be265680db"/>
    <xsd:import namespace="7d459365-4b1c-41cf-a2f5-a7ae931223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2931a-f435-46f5-bcc6-13be265680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59365-4b1c-41cf-a2f5-a7ae93122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F88909-9F44-4165-BCD6-AD630B74B330}"/>
</file>

<file path=customXml/itemProps2.xml><?xml version="1.0" encoding="utf-8"?>
<ds:datastoreItem xmlns:ds="http://schemas.openxmlformats.org/officeDocument/2006/customXml" ds:itemID="{B1C13980-4398-4D2D-841F-407A6B8FF573}"/>
</file>

<file path=customXml/itemProps3.xml><?xml version="1.0" encoding="utf-8"?>
<ds:datastoreItem xmlns:ds="http://schemas.openxmlformats.org/officeDocument/2006/customXml" ds:itemID="{C0DABBC4-659F-447D-93E2-7D5D99998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Girones Gil</dc:creator>
  <cp:keywords/>
  <dc:description/>
  <cp:lastModifiedBy>Marta Girones Gil</cp:lastModifiedBy>
  <cp:revision/>
  <dcterms:created xsi:type="dcterms:W3CDTF">2024-02-12T08:23:10Z</dcterms:created>
  <dcterms:modified xsi:type="dcterms:W3CDTF">2025-12-05T09:26:13Z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0x01010002883533AE32F64C9675E7DA9354FA04</vt:lpwstr>
  </property>
</Properties>
</file>